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nd Purchase Calc"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Auto-set to Total Project Duration (C8) so interest reserve covers the full hold. Type a number here to override.</t>
        </r>
      </text>
    </comment>
    <comment ref="C20" authorId="0">
      <text>
        <r>
          <rPr>
            <sz val="10"/>
            <rFont val="Arial"/>
            <family val="2"/>
          </rPr>
          <t xml:space="preserve">Land = residual after Construction, Origination, Interest Reserve and Closing. Closing costs are 1% of the land contract (which depends on Land), so the 1% loop is solved in closed form here (/1.01). SUM(C20:C24) still reconciles to C25.</t>
        </r>
      </text>
    </comment>
    <comment ref="C25" authorId="0">
      <text>
        <r>
          <rPr>
            <sz val="10"/>
            <rFont val="Arial"/>
            <family val="2"/>
          </rPr>
          <t xml:space="preserve">Total project cost is pinned by the target profit: = (Value - Investor Return) - Holding costs - Selling costs. Equals SUM(C20:C24) but computed non-circularly so the model resolves without iterative calculation.</t>
        </r>
      </text>
    </comment>
  </commentList>
</comments>
</file>

<file path=xl/sharedStrings.xml><?xml version="1.0" encoding="utf-8"?>
<sst xmlns="http://schemas.openxmlformats.org/spreadsheetml/2006/main" count="53" uniqueCount="46">
  <si>
    <t xml:space="preserve">Land/New Construction Calculator</t>
  </si>
  <si>
    <t xml:space="preserve">New Construction SF</t>
  </si>
  <si>
    <t xml:space="preserve">Price Per SF Construction</t>
  </si>
  <si>
    <t xml:space="preserve">Construction Loan Downpayment</t>
  </si>
  <si>
    <t xml:space="preserve">Construction Loan Interest Rate</t>
  </si>
  <si>
    <t xml:space="preserve">Total Project Duration (Months)</t>
  </si>
  <si>
    <t xml:space="preserve">Construction Interest Reserve (Months)</t>
  </si>
  <si>
    <t xml:space="preserve">Construction Loan Origination Fee</t>
  </si>
  <si>
    <t xml:space="preserve">Purchase Closing Costs</t>
  </si>
  <si>
    <t xml:space="preserve">Estimated Utilities/Insruance</t>
  </si>
  <si>
    <t xml:space="preserve">New Construction Estimated Value</t>
  </si>
  <si>
    <t xml:space="preserve">Target Assignment Fee</t>
  </si>
  <si>
    <t xml:space="preserve">Target Investor Return</t>
  </si>
  <si>
    <t xml:space="preserve">Target Land Contract Amount</t>
  </si>
  <si>
    <t xml:space="preserve">Total Project Costs</t>
  </si>
  <si>
    <t xml:space="preserve">Land Acquisition Cost</t>
  </si>
  <si>
    <t xml:space="preserve">Total Construction Budget</t>
  </si>
  <si>
    <t xml:space="preserve">Loan Origination Fee</t>
  </si>
  <si>
    <t xml:space="preserve">Interest Reserve</t>
  </si>
  <si>
    <t xml:space="preserve">Less: Construction Loan Downpayment</t>
  </si>
  <si>
    <t xml:space="preserve">Construction Loan Amount</t>
  </si>
  <si>
    <t xml:space="preserve">Total Cash Investment</t>
  </si>
  <si>
    <t xml:space="preserve">Estimated Utilties/Insurance</t>
  </si>
  <si>
    <t xml:space="preserve">Project Proforma</t>
  </si>
  <si>
    <t xml:space="preserve">Estimated Sale Price</t>
  </si>
  <si>
    <t xml:space="preserve">Estimated Selling Costs </t>
  </si>
  <si>
    <t xml:space="preserve">Land Purchase Price</t>
  </si>
  <si>
    <t xml:space="preserve">Estimated Construction Costs</t>
  </si>
  <si>
    <t xml:space="preserve">Estimated Utilities/Insurance</t>
  </si>
  <si>
    <t xml:space="preserve">Loan Orgination Fee</t>
  </si>
  <si>
    <t xml:space="preserve">Interest </t>
  </si>
  <si>
    <t xml:space="preserve">Total Costs</t>
  </si>
  <si>
    <t xml:space="preserve">Net Profit/(Loss)</t>
  </si>
  <si>
    <t xml:space="preserve">Sales Proceeds</t>
  </si>
  <si>
    <t xml:space="preserve">Selling Costs</t>
  </si>
  <si>
    <t xml:space="preserve">Loan Payoff</t>
  </si>
  <si>
    <t xml:space="preserve">Cash on Cash Return</t>
  </si>
  <si>
    <t xml:space="preserve">Total Profit/(Loss)</t>
  </si>
  <si>
    <t xml:space="preserve">Total Cash Invested</t>
  </si>
  <si>
    <t xml:space="preserve">Total Return</t>
  </si>
  <si>
    <t xml:space="preserve">Total Cash on Cash Return</t>
  </si>
  <si>
    <t xml:space="preserve">Annualized Cash on Cash Return</t>
  </si>
  <si>
    <t xml:space="preserve">DISCLAIMER AND WAIVER OF CLAIMS.  The foregoing Proforma  is based on estimates only and does not constitute a commitment, representation, warranty, or agreement binding on PROJECT RE, LLC, its members, managers, brokers, agents, affiliated entities, or employees (collectively hereafter “PROJECT RE”), and  PROJECT RE hereby disclaims any such warranty, representation, commitment or agreement. Intrust Funding further disclaims any warranty or representation of any kind or nature regarding the condition or attributes  of the property which is the subject of the Proforma (the “Property”), including without limitation the Property’s structural integrity,  potential for improvement, or existing or potential hazardous materials contamination.  Client acknowledges that the purchase and renovation of the Property is a speculative investment which involves a substantial degree of risk of loss of his/her/its entire investment; Client  understands and takes full cognizance of, and responsibility for,  the risk factors related to the purchase of the Property, and acknowledges his/her/its responsibility to conduct investigation and due diligence, independent of the Proforma  or other information provided by PROJECT RE.  Client waives and releases Intrust Funding from any claim or liability arising from any loss sustained by Client on account of his/her/its reliance on the Proforma or other information provided by PROJECT RE regarding the acquisition and development of the Property.   </t>
  </si>
  <si>
    <t xml:space="preserve">THIS IS A TOOL ONLY. The outputs of this calculator are estimates and projections provided solely as an analytical tool and do not constitute a representation, warranty, guarantee, or commitment of any kind as to actual results. All calculations and cost assumptions are based on historical numbers and may not reflect current or future market, construction, financing, or property-specific conditions. The investor is solely responsible for verifying all projections, inputs, costs, and assumptions, and shall conduct its own independent due diligence before relying on any figure herein or making any investment decision.</t>
  </si>
  <si>
    <t xml:space="preserve">PROPRIETARY AND CONFIDENTIAL — NOT FOR DISTRIBUTION. This calculator, including its structure, formulas, methodologies, assumptions, and outputs, is the proprietary and confidential property of PROJECT RE, LLC (“PJRE”). It is furnished for the recipient’s internal evaluation only and may not be copied, reproduced, distributed, published, disclosed, or otherwise shared with any third party, in whole or in part, without the prior written consent of PJRE.</t>
  </si>
  <si>
    <t xml:space="preserve">RELEASE AND ACKNOWLEDGMENT OF INDEPENDENT DUE DILIGENCE. By accessing or using this tool, the user (investor) fully and irrevocably releases, waives, and discharges PROJECT RE, LLC (“PJRE”) and each of its affiliated companies, members, managers, officers, employees, brokers, and agents from any and all claims, demands, liabilities, damages, losses, or causes of action of any kind arising out of or relating to the user’s use of, or reliance upon, this tool or its outputs. The investor acknowledges and agrees that it will conduct its own independent due diligence and investigation and that it is not relying on PJRE or any of its affiliated companies in making any investment decision.</t>
  </si>
</sst>
</file>

<file path=xl/styles.xml><?xml version="1.0" encoding="utf-8"?>
<styleSheet xmlns="http://schemas.openxmlformats.org/spreadsheetml/2006/main">
  <numFmts count="6">
    <numFmt numFmtId="164" formatCode="General"/>
    <numFmt numFmtId="165" formatCode="_(* #,##0_);_(* \(#,##0\);_(* \-??_);_(@_)"/>
    <numFmt numFmtId="166" formatCode="_(\$* #,##0.00_);_(\$* \(#,##0.00\);_(\$* \-??_);_(@_)"/>
    <numFmt numFmtId="167" formatCode="0%"/>
    <numFmt numFmtId="168" formatCode="_(* #,##0.00_);_(* \(#,##0.00\);_(* \-??_);_(@_)"/>
    <numFmt numFmtId="169" formatCode="0.00%"/>
  </numFmts>
  <fonts count="12">
    <font>
      <sz val="11"/>
      <color theme="1"/>
      <name val="Calibri"/>
      <family val="2"/>
      <charset val="1"/>
    </font>
    <font>
      <sz val="10"/>
      <name val="Arial"/>
      <family val="0"/>
    </font>
    <font>
      <sz val="10"/>
      <name val="Arial"/>
      <family val="0"/>
    </font>
    <font>
      <sz val="10"/>
      <name val="Arial"/>
      <family val="0"/>
    </font>
    <font>
      <sz val="11"/>
      <name val="Calibri Light"/>
      <family val="2"/>
      <charset val="1"/>
    </font>
    <font>
      <b val="true"/>
      <sz val="18"/>
      <color theme="1"/>
      <name val="Calibri Light"/>
      <family val="2"/>
      <charset val="1"/>
    </font>
    <font>
      <sz val="28"/>
      <name val="Calibri Light"/>
      <family val="2"/>
      <charset val="1"/>
    </font>
    <font>
      <sz val="12"/>
      <name val="Calibri Light"/>
      <family val="2"/>
      <charset val="1"/>
    </font>
    <font>
      <b val="true"/>
      <sz val="12"/>
      <color rgb="FFFFFF00"/>
      <name val="Calibri Light"/>
      <family val="2"/>
      <charset val="1"/>
    </font>
    <font>
      <sz val="16"/>
      <name val="Calibri Light"/>
      <family val="2"/>
      <charset val="1"/>
    </font>
    <font>
      <sz val="11"/>
      <name val="Calibri Light"/>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theme="1"/>
        <bgColor rgb="FF003300"/>
      </patternFill>
    </fill>
  </fills>
  <borders count="4">
    <border diagonalUp="false" diagonalDown="false">
      <left/>
      <right/>
      <top/>
      <bottom/>
      <diagonal/>
    </border>
    <border diagonalUp="false" diagonalDown="false">
      <left style="thin">
        <color rgb="FF34393F"/>
      </left>
      <right style="thin">
        <color rgb="FF34393F"/>
      </right>
      <top style="thin">
        <color rgb="FF34393F"/>
      </top>
      <bottom style="thin">
        <color rgb="FF34393F"/>
      </bottom>
      <diagonal/>
    </border>
    <border diagonalUp="false" diagonalDown="false">
      <left style="thin">
        <color rgb="FF34393F"/>
      </left>
      <right style="thin">
        <color rgb="FF34393F"/>
      </right>
      <top/>
      <bottom style="thin">
        <color rgb="FF34393F"/>
      </bottom>
      <diagonal/>
    </border>
    <border diagonalUp="false" diagonalDown="false">
      <left/>
      <right/>
      <top/>
      <bottom style="thin">
        <color rgb="FF34393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7" fillId="2" borderId="1" xfId="0" applyFont="true" applyBorder="true" applyAlignment="true" applyProtection="false">
      <alignment horizontal="general" vertical="center"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7" fillId="2" borderId="1" xfId="0" applyFont="true" applyBorder="tru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7" fontId="7" fillId="2" borderId="1" xfId="0" applyFont="true" applyBorder="true" applyAlignment="true" applyProtection="false">
      <alignment horizontal="general" vertical="center"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8" fontId="7" fillId="2" borderId="1" xfId="0" applyFont="true" applyBorder="tru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6" fontId="8" fillId="3" borderId="1"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6" fontId="4" fillId="0" borderId="1" xfId="0" applyFont="true" applyBorder="true" applyAlignment="tru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6" fontId="7" fillId="0" borderId="2"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6" fontId="7" fillId="0" borderId="1"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6" fontId="7" fillId="0" borderId="3" xfId="0" applyFont="true" applyBorder="true" applyAlignment="true" applyProtection="false">
      <alignment horizontal="general" vertical="center" textRotation="0" wrapText="false" indent="0" shrinkToFit="false"/>
      <protection locked="true" hidden="false"/>
    </xf>
    <xf numFmtId="164" fontId="7" fillId="0" borderId="3"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439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671760</xdr:colOff>
      <xdr:row>0</xdr:row>
      <xdr:rowOff>885240</xdr:rowOff>
    </xdr:to>
    <xdr:pic>
      <xdr:nvPicPr>
        <xdr:cNvPr id="0" name="Picture 2" descr=""/>
        <xdr:cNvPicPr/>
      </xdr:nvPicPr>
      <xdr:blipFill>
        <a:blip r:embed="rId1"/>
        <a:stretch/>
      </xdr:blipFill>
      <xdr:spPr>
        <a:xfrm>
          <a:off x="0" y="0"/>
          <a:ext cx="4055040" cy="885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67"/>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9140625" defaultRowHeight="14.25" zeroHeight="false" outlineLevelRow="0" outlineLevelCol="0"/>
  <cols>
    <col collapsed="false" customWidth="false" hidden="false" outlineLevel="0" max="1" min="1" style="1" width="8.91"/>
    <col collapsed="false" customWidth="true" hidden="false" outlineLevel="0" max="2" min="2" style="1" width="39.09"/>
    <col collapsed="false" customWidth="true" hidden="false" outlineLevel="0" max="3" min="3" style="1" width="31.91"/>
    <col collapsed="false" customWidth="true" hidden="false" outlineLevel="0" max="4" min="4" style="1" width="29.36"/>
    <col collapsed="false" customWidth="true" hidden="false" outlineLevel="0" max="5" min="5" style="1" width="24.91"/>
    <col collapsed="false" customWidth="true" hidden="false" outlineLevel="0" max="6" min="6" style="1" width="14.45"/>
    <col collapsed="false" customWidth="false" hidden="false" outlineLevel="0" max="7" min="7" style="1" width="8.91"/>
    <col collapsed="false" customWidth="true" hidden="false" outlineLevel="0" max="8" min="8" style="1" width="14.09"/>
    <col collapsed="false" customWidth="false" hidden="false" outlineLevel="0" max="16384" min="9" style="1" width="8.91"/>
  </cols>
  <sheetData>
    <row r="1" customFormat="false" ht="94.5" hidden="false" customHeight="true" outlineLevel="0" collapsed="false">
      <c r="B1" s="2"/>
    </row>
    <row r="2" s="3" customFormat="true" ht="54.75" hidden="false" customHeight="true" outlineLevel="0" collapsed="false">
      <c r="B2" s="4" t="s">
        <v>0</v>
      </c>
    </row>
    <row r="3" customFormat="false" ht="15.75" hidden="false" customHeight="true" outlineLevel="0" collapsed="false"/>
    <row r="4" customFormat="false" ht="21.75" hidden="false" customHeight="true" outlineLevel="0" collapsed="false">
      <c r="B4" s="5" t="s">
        <v>1</v>
      </c>
      <c r="C4" s="6" t="n">
        <v>3000</v>
      </c>
      <c r="D4" s="7"/>
    </row>
    <row r="5" customFormat="false" ht="21.75" hidden="false" customHeight="true" outlineLevel="0" collapsed="false">
      <c r="B5" s="5" t="s">
        <v>2</v>
      </c>
      <c r="C5" s="8" t="n">
        <v>300</v>
      </c>
      <c r="D5" s="9"/>
    </row>
    <row r="6" customFormat="false" ht="21.75" hidden="false" customHeight="true" outlineLevel="0" collapsed="false">
      <c r="B6" s="5" t="s">
        <v>3</v>
      </c>
      <c r="C6" s="10" t="n">
        <v>0.2</v>
      </c>
      <c r="D6" s="11"/>
    </row>
    <row r="7" customFormat="false" ht="21.75" hidden="false" customHeight="true" outlineLevel="0" collapsed="false">
      <c r="B7" s="5" t="s">
        <v>4</v>
      </c>
      <c r="C7" s="10" t="n">
        <v>0.09</v>
      </c>
      <c r="D7" s="11"/>
    </row>
    <row r="8" customFormat="false" ht="21.75" hidden="false" customHeight="true" outlineLevel="0" collapsed="false">
      <c r="B8" s="5" t="s">
        <v>5</v>
      </c>
      <c r="C8" s="6" t="n">
        <v>18</v>
      </c>
      <c r="D8" s="11"/>
    </row>
    <row r="9" customFormat="false" ht="21.75" hidden="false" customHeight="true" outlineLevel="0" collapsed="false">
      <c r="B9" s="5" t="s">
        <v>6</v>
      </c>
      <c r="C9" s="12" t="n">
        <f aca="false">C8</f>
        <v>18</v>
      </c>
      <c r="D9" s="7"/>
    </row>
    <row r="10" customFormat="false" ht="21.75" hidden="false" customHeight="true" outlineLevel="0" collapsed="false">
      <c r="B10" s="5" t="s">
        <v>7</v>
      </c>
      <c r="C10" s="10" t="n">
        <v>0.01</v>
      </c>
      <c r="D10" s="11"/>
    </row>
    <row r="11" customFormat="false" ht="21.75" hidden="false" customHeight="true" outlineLevel="0" collapsed="false">
      <c r="B11" s="5" t="s">
        <v>8</v>
      </c>
      <c r="C11" s="13" t="n">
        <f aca="false">ROUND(C17*0.01,0)</f>
        <v>7728</v>
      </c>
      <c r="D11" s="11"/>
    </row>
    <row r="12" customFormat="false" ht="21.75" hidden="false" customHeight="true" outlineLevel="0" collapsed="false">
      <c r="B12" s="5" t="s">
        <v>9</v>
      </c>
      <c r="C12" s="13" t="n">
        <f aca="false">250*C8</f>
        <v>4500</v>
      </c>
      <c r="D12" s="11"/>
    </row>
    <row r="13" customFormat="false" ht="21.75" hidden="false" customHeight="true" outlineLevel="0" collapsed="false">
      <c r="B13" s="5" t="s">
        <v>10</v>
      </c>
      <c r="C13" s="8" t="n">
        <v>3000000</v>
      </c>
      <c r="D13" s="9"/>
    </row>
    <row r="14" customFormat="false" ht="14.25" hidden="false" customHeight="true" outlineLevel="0" collapsed="false">
      <c r="C14" s="9"/>
      <c r="D14" s="9"/>
    </row>
    <row r="15" s="3" customFormat="true" ht="21.75" hidden="false" customHeight="true" outlineLevel="0" collapsed="false">
      <c r="B15" s="5" t="s">
        <v>11</v>
      </c>
      <c r="C15" s="8" t="n">
        <v>100000</v>
      </c>
      <c r="D15" s="14"/>
    </row>
    <row r="16" customFormat="false" ht="21.75" hidden="false" customHeight="true" outlineLevel="0" collapsed="false">
      <c r="B16" s="5" t="s">
        <v>12</v>
      </c>
      <c r="C16" s="10" t="n">
        <v>0.25</v>
      </c>
      <c r="D16" s="9"/>
    </row>
    <row r="17" customFormat="false" ht="21.75" hidden="false" customHeight="true" outlineLevel="0" collapsed="false">
      <c r="B17" s="15" t="s">
        <v>13</v>
      </c>
      <c r="C17" s="16" t="n">
        <f aca="false">C20-C15</f>
        <v>772844</v>
      </c>
      <c r="D17" s="9"/>
    </row>
    <row r="18" customFormat="false" ht="25.5" hidden="false" customHeight="true" outlineLevel="0" collapsed="false"/>
    <row r="19" customFormat="false" ht="39.75" hidden="false" customHeight="true" outlineLevel="0" collapsed="false">
      <c r="B19" s="17" t="s">
        <v>14</v>
      </c>
      <c r="E19" s="9"/>
    </row>
    <row r="20" customFormat="false" ht="21" hidden="false" customHeight="true" outlineLevel="0" collapsed="false">
      <c r="B20" s="18" t="s">
        <v>15</v>
      </c>
      <c r="C20" s="19" t="n">
        <f aca="false">ROUND((C25-C21-C23-C24+C15*0.01)/1.01,0)</f>
        <v>872844</v>
      </c>
      <c r="D20" s="20"/>
      <c r="E20" s="19" t="n">
        <f aca="false">C13*C16</f>
        <v>750000</v>
      </c>
    </row>
    <row r="21" customFormat="false" ht="21" hidden="false" customHeight="true" outlineLevel="0" collapsed="false">
      <c r="B21" s="18" t="s">
        <v>16</v>
      </c>
      <c r="C21" s="19" t="n">
        <f aca="false">C4*C5</f>
        <v>900000</v>
      </c>
      <c r="D21" s="21"/>
      <c r="E21" s="19" t="n">
        <f aca="false">C13-E20</f>
        <v>2250000</v>
      </c>
    </row>
    <row r="22" customFormat="false" ht="21" hidden="false" customHeight="true" outlineLevel="0" collapsed="false">
      <c r="B22" s="18" t="s">
        <v>8</v>
      </c>
      <c r="C22" s="19" t="n">
        <f aca="false">C11</f>
        <v>7728</v>
      </c>
      <c r="D22" s="21"/>
      <c r="E22" s="18"/>
    </row>
    <row r="23" customFormat="false" ht="21" hidden="false" customHeight="true" outlineLevel="0" collapsed="false">
      <c r="B23" s="18" t="s">
        <v>17</v>
      </c>
      <c r="C23" s="19" t="n">
        <f aca="false">ROUND(C27*C10,0)</f>
        <v>15564</v>
      </c>
      <c r="D23" s="22"/>
      <c r="E23" s="19" t="n">
        <f aca="false">SUM(C21:C24)-D39-D36</f>
        <v>1377156</v>
      </c>
    </row>
    <row r="24" customFormat="false" ht="21" hidden="false" customHeight="true" outlineLevel="0" collapsed="false">
      <c r="B24" s="23" t="s">
        <v>18</v>
      </c>
      <c r="C24" s="24" t="n">
        <f aca="false">ROUND((((C27-C21)+(C21/2))*((C7/12))*C9),0)</f>
        <v>149364</v>
      </c>
    </row>
    <row r="25" customFormat="false" ht="21" hidden="false" customHeight="true" outlineLevel="0" collapsed="false">
      <c r="B25" s="18" t="s">
        <v>14</v>
      </c>
      <c r="C25" s="25" t="n">
        <f aca="false">E21+D36-C12</f>
        <v>1945500</v>
      </c>
    </row>
    <row r="26" customFormat="false" ht="21" hidden="false" customHeight="true" outlineLevel="0" collapsed="false">
      <c r="B26" s="18" t="s">
        <v>19</v>
      </c>
      <c r="C26" s="19" t="n">
        <f aca="false">ROUND(-C25*C6,0)</f>
        <v>-389100</v>
      </c>
    </row>
    <row r="27" customFormat="false" ht="21" hidden="false" customHeight="true" outlineLevel="0" collapsed="false">
      <c r="B27" s="18" t="s">
        <v>20</v>
      </c>
      <c r="C27" s="25" t="n">
        <f aca="false">SUM(C25:C26)</f>
        <v>1556400</v>
      </c>
    </row>
    <row r="28" customFormat="false" ht="27" hidden="false" customHeight="true" outlineLevel="0" collapsed="false"/>
    <row r="29" customFormat="false" ht="39.75" hidden="false" customHeight="true" outlineLevel="0" collapsed="false">
      <c r="B29" s="17" t="s">
        <v>21</v>
      </c>
    </row>
    <row r="30" s="3" customFormat="true" ht="21.75" hidden="false" customHeight="true" outlineLevel="0" collapsed="false">
      <c r="B30" s="5" t="s">
        <v>3</v>
      </c>
      <c r="C30" s="26" t="n">
        <f aca="false">-C26</f>
        <v>389100</v>
      </c>
    </row>
    <row r="31" s="3" customFormat="true" ht="21.75" hidden="false" customHeight="true" outlineLevel="0" collapsed="false">
      <c r="B31" s="5" t="s">
        <v>22</v>
      </c>
      <c r="C31" s="26" t="n">
        <f aca="false">C12</f>
        <v>4500</v>
      </c>
    </row>
    <row r="32" s="3" customFormat="true" ht="21.75" hidden="false" customHeight="true" outlineLevel="0" collapsed="false">
      <c r="B32" s="5" t="s">
        <v>21</v>
      </c>
      <c r="C32" s="26" t="n">
        <f aca="false">SUM(C30:C31)</f>
        <v>393600</v>
      </c>
    </row>
    <row r="33" customFormat="false" ht="25.5" hidden="false" customHeight="true" outlineLevel="0" collapsed="false"/>
    <row r="34" customFormat="false" ht="39.75" hidden="false" customHeight="true" outlineLevel="0" collapsed="false">
      <c r="B34" s="17" t="s">
        <v>23</v>
      </c>
    </row>
    <row r="35" customFormat="false" ht="21.75" hidden="false" customHeight="true" outlineLevel="0" collapsed="false">
      <c r="B35" s="5" t="s">
        <v>24</v>
      </c>
      <c r="C35" s="5"/>
      <c r="D35" s="5"/>
      <c r="E35" s="27" t="n">
        <f aca="false">C13</f>
        <v>3000000</v>
      </c>
      <c r="F35" s="28"/>
    </row>
    <row r="36" customFormat="false" ht="21.75" hidden="false" customHeight="true" outlineLevel="0" collapsed="false">
      <c r="B36" s="5" t="s">
        <v>25</v>
      </c>
      <c r="C36" s="10" t="n">
        <v>0.1</v>
      </c>
      <c r="D36" s="27" t="n">
        <f aca="false">C36*-E35</f>
        <v>-300000</v>
      </c>
      <c r="E36" s="5"/>
      <c r="F36" s="28"/>
    </row>
    <row r="37" customFormat="false" ht="21.75" hidden="false" customHeight="true" outlineLevel="0" collapsed="false">
      <c r="B37" s="5" t="s">
        <v>26</v>
      </c>
      <c r="C37" s="29"/>
      <c r="D37" s="27" t="n">
        <f aca="false">-C20</f>
        <v>-872844</v>
      </c>
      <c r="E37" s="5"/>
      <c r="F37" s="28"/>
    </row>
    <row r="38" customFormat="false" ht="21.75" hidden="false" customHeight="true" outlineLevel="0" collapsed="false">
      <c r="B38" s="5" t="s">
        <v>27</v>
      </c>
      <c r="C38" s="5"/>
      <c r="D38" s="27" t="n">
        <f aca="false">-C21</f>
        <v>-900000</v>
      </c>
      <c r="E38" s="5"/>
      <c r="F38" s="28"/>
    </row>
    <row r="39" customFormat="false" ht="21.75" hidden="false" customHeight="true" outlineLevel="0" collapsed="false">
      <c r="B39" s="5" t="s">
        <v>28</v>
      </c>
      <c r="C39" s="5"/>
      <c r="D39" s="27" t="n">
        <f aca="false">-C12</f>
        <v>-4500</v>
      </c>
      <c r="E39" s="5"/>
      <c r="F39" s="28"/>
    </row>
    <row r="40" customFormat="false" ht="21.75" hidden="false" customHeight="true" outlineLevel="0" collapsed="false">
      <c r="B40" s="5" t="s">
        <v>29</v>
      </c>
      <c r="C40" s="5"/>
      <c r="D40" s="27" t="n">
        <f aca="false">-C23</f>
        <v>-15564</v>
      </c>
      <c r="E40" s="5"/>
      <c r="F40" s="28"/>
    </row>
    <row r="41" customFormat="false" ht="21.75" hidden="false" customHeight="true" outlineLevel="0" collapsed="false">
      <c r="B41" s="5" t="s">
        <v>8</v>
      </c>
      <c r="C41" s="5"/>
      <c r="D41" s="27" t="n">
        <f aca="false">-C11</f>
        <v>-7728</v>
      </c>
      <c r="E41" s="5"/>
      <c r="F41" s="28"/>
    </row>
    <row r="42" customFormat="false" ht="21.75" hidden="false" customHeight="true" outlineLevel="0" collapsed="false">
      <c r="B42" s="5" t="s">
        <v>30</v>
      </c>
      <c r="C42" s="5"/>
      <c r="D42" s="27" t="n">
        <f aca="false">-C24</f>
        <v>-149364</v>
      </c>
      <c r="E42" s="5"/>
      <c r="F42" s="28"/>
    </row>
    <row r="43" customFormat="false" ht="21.75" hidden="false" customHeight="true" outlineLevel="0" collapsed="false">
      <c r="B43" s="5" t="s">
        <v>31</v>
      </c>
      <c r="C43" s="5"/>
      <c r="D43" s="5"/>
      <c r="E43" s="27" t="n">
        <f aca="false">SUM(D36:D42)</f>
        <v>-2250000</v>
      </c>
      <c r="F43" s="28"/>
    </row>
    <row r="44" customFormat="false" ht="21.75" hidden="false" customHeight="true" outlineLevel="0" collapsed="false">
      <c r="B44" s="28"/>
      <c r="C44" s="28"/>
      <c r="D44" s="28"/>
      <c r="E44" s="30" t="n">
        <f aca="false">SUM(E35:E43)</f>
        <v>750000</v>
      </c>
      <c r="F44" s="31" t="s">
        <v>32</v>
      </c>
      <c r="H44" s="9"/>
    </row>
    <row r="45" customFormat="false" ht="27" hidden="false" customHeight="true" outlineLevel="0" collapsed="false">
      <c r="H45" s="9"/>
    </row>
    <row r="46" customFormat="false" ht="39.75" hidden="false" customHeight="true" outlineLevel="0" collapsed="false">
      <c r="B46" s="17" t="s">
        <v>33</v>
      </c>
    </row>
    <row r="47" s="3" customFormat="true" ht="21.75" hidden="false" customHeight="true" outlineLevel="0" collapsed="false">
      <c r="B47" s="5" t="s">
        <v>24</v>
      </c>
      <c r="C47" s="27" t="n">
        <f aca="false">E35</f>
        <v>3000000</v>
      </c>
    </row>
    <row r="48" s="3" customFormat="true" ht="21.75" hidden="false" customHeight="true" outlineLevel="0" collapsed="false">
      <c r="B48" s="5" t="s">
        <v>34</v>
      </c>
      <c r="C48" s="27" t="n">
        <f aca="false">D36</f>
        <v>-300000</v>
      </c>
    </row>
    <row r="49" s="3" customFormat="true" ht="21.75" hidden="false" customHeight="true" outlineLevel="0" collapsed="false">
      <c r="B49" s="5" t="s">
        <v>35</v>
      </c>
      <c r="C49" s="27" t="n">
        <f aca="false">-C27</f>
        <v>-1556400</v>
      </c>
    </row>
    <row r="50" s="3" customFormat="true" ht="21.75" hidden="false" customHeight="true" outlineLevel="0" collapsed="false">
      <c r="B50" s="5" t="s">
        <v>33</v>
      </c>
      <c r="C50" s="27" t="n">
        <f aca="false">SUM(C47:C49)</f>
        <v>1143600</v>
      </c>
    </row>
    <row r="51" customFormat="false" ht="15" hidden="false" customHeight="true" outlineLevel="0" collapsed="false">
      <c r="B51" s="32"/>
      <c r="C51" s="32"/>
    </row>
    <row r="52" customFormat="false" ht="39.75" hidden="false" customHeight="true" outlineLevel="0" collapsed="false">
      <c r="B52" s="17" t="s">
        <v>36</v>
      </c>
      <c r="C52" s="32"/>
    </row>
    <row r="53" s="3" customFormat="true" ht="21.75" hidden="false" customHeight="true" outlineLevel="0" collapsed="false">
      <c r="B53" s="5" t="s">
        <v>37</v>
      </c>
      <c r="C53" s="27" t="n">
        <f aca="false">E44</f>
        <v>750000</v>
      </c>
    </row>
    <row r="54" s="3" customFormat="true" ht="21.75" hidden="false" customHeight="true" outlineLevel="0" collapsed="false">
      <c r="B54" s="5" t="s">
        <v>38</v>
      </c>
      <c r="C54" s="27" t="n">
        <f aca="false">C32</f>
        <v>393600</v>
      </c>
    </row>
    <row r="55" s="3" customFormat="true" ht="21.75" hidden="false" customHeight="true" outlineLevel="0" collapsed="false">
      <c r="B55" s="5" t="s">
        <v>39</v>
      </c>
      <c r="C55" s="33" t="n">
        <f aca="false">E44/E35</f>
        <v>0.25</v>
      </c>
    </row>
    <row r="56" s="3" customFormat="true" ht="21.75" hidden="false" customHeight="true" outlineLevel="0" collapsed="false">
      <c r="B56" s="5" t="s">
        <v>40</v>
      </c>
      <c r="C56" s="33" t="n">
        <f aca="false">C53/C54</f>
        <v>1.90548780487805</v>
      </c>
    </row>
    <row r="57" s="3" customFormat="true" ht="21.75" hidden="false" customHeight="true" outlineLevel="0" collapsed="false">
      <c r="B57" s="5" t="s">
        <v>41</v>
      </c>
      <c r="C57" s="33" t="n">
        <f aca="false">C56*(12/C8)</f>
        <v>1.27032520325203</v>
      </c>
    </row>
    <row r="61" customFormat="false" ht="226.5" hidden="false" customHeight="true" outlineLevel="0" collapsed="false">
      <c r="B61" s="34" t="s">
        <v>42</v>
      </c>
      <c r="C61" s="34"/>
      <c r="D61" s="34"/>
    </row>
    <row r="63" customFormat="false" ht="150" hidden="false" customHeight="true" outlineLevel="0" collapsed="false">
      <c r="B63" s="35" t="s">
        <v>43</v>
      </c>
      <c r="C63" s="35"/>
      <c r="D63" s="35"/>
    </row>
    <row r="65" customFormat="false" ht="150" hidden="false" customHeight="true" outlineLevel="0" collapsed="false">
      <c r="B65" s="35" t="s">
        <v>44</v>
      </c>
      <c r="C65" s="35"/>
      <c r="D65" s="35"/>
    </row>
    <row r="67" customFormat="false" ht="150" hidden="false" customHeight="true" outlineLevel="0" collapsed="false">
      <c r="B67" s="35" t="s">
        <v>45</v>
      </c>
      <c r="C67" s="35"/>
      <c r="D67" s="35"/>
    </row>
  </sheetData>
  <mergeCells count="4">
    <mergeCell ref="B61:D61"/>
    <mergeCell ref="B63:D63"/>
    <mergeCell ref="B65:D65"/>
    <mergeCell ref="B67:D6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2023-02-13T19:27:26Z</dcterms:created>
  <dc:creator>Jarred Bohn</dc:creator>
  <dc:description/>
  <dc:language>en-US</dc:language>
  <cp:lastModifiedBy>James Dainard</cp:lastModifiedBy>
  <dcterms:modified xsi:type="dcterms:W3CDTF">2026-07-01T19:38:36Z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
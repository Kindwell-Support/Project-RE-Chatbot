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5-Year Projection"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41" authorId="0">
      <text>
        <r>
          <rPr>
            <sz val="10"/>
            <rFont val="Arial"/>
            <family val="2"/>
          </rPr>
          <t xml:space="preserve">Fix: added acquisition closing costs (D35). Cash invested = down payment + closing costs + holding costs.</t>
        </r>
      </text>
    </comment>
    <comment ref="D48" authorId="0">
      <text>
        <r>
          <rPr>
            <sz val="10"/>
            <rFont val="Arial"/>
            <family val="2"/>
          </rPr>
          <t xml:space="preserve">Loan balance = LTARV basis + points + fees (financed on top). This is the balance you owe and pay interest on, so debt service (C64) is calculated on this larger number.</t>
        </r>
      </text>
    </comment>
    <comment ref="D50" authorId="0">
      <text>
        <r>
          <rPr>
            <sz val="10"/>
            <rFont val="Arial"/>
            <family val="2"/>
          </rPr>
          <t xml:space="preserve">Net cash from refi = loan balance - construction payoff - points - fees. Points/fees are financed into the balance but disbursed to the lender, not to you.</t>
        </r>
      </text>
    </comment>
    <comment ref="G15" authorId="0">
      <text>
        <r>
          <rPr>
            <sz val="10"/>
            <rFont val="Arial"/>
            <family val="2"/>
          </rPr>
          <t xml:space="preserve">Choose how the refinance loan is sized: LTV = max % of ARV, or DSCR = max loan the rental income supports at the Min DSCR below. Lenders use one or the other, not both.</t>
        </r>
      </text>
    </comment>
    <comment ref="J12" authorId="0">
      <text>
        <r>
          <rPr>
            <sz val="10"/>
            <rFont val="Arial"/>
            <family val="2"/>
          </rPr>
          <t xml:space="preserve">Annual property taxes. Drives both the holding-cost taxes (over the hold period) and the rental cash-flow taxes.</t>
        </r>
      </text>
    </comment>
    <comment ref="J14" authorId="0">
      <text>
        <r>
          <rPr>
            <sz val="10"/>
            <rFont val="Arial"/>
            <family val="2"/>
          </rPr>
          <t xml:space="preserve">Annual repairs &amp; maintenance reserve for the rental phase (e.g. ~5% of rent). Adjust to your estimate.</t>
        </r>
      </text>
    </comment>
    <comment ref="J15" authorId="0">
      <text>
        <r>
          <rPr>
            <sz val="10"/>
            <rFont val="Arial"/>
            <family val="2"/>
          </rPr>
          <t xml:space="preserve">Annual OWNER-paid utilities during the rental phase (0 if tenant pays). Vacant-period utilities during construction are set separately in the holding-cost section.</t>
        </r>
      </text>
    </comment>
  </commentList>
</comments>
</file>

<file path=xl/sharedStrings.xml><?xml version="1.0" encoding="utf-8"?>
<sst xmlns="http://schemas.openxmlformats.org/spreadsheetml/2006/main" count="114" uniqueCount="91">
  <si>
    <t xml:space="preserve">Property Address:</t>
  </si>
  <si>
    <t xml:space="preserve">Take Down Fiancing</t>
  </si>
  <si>
    <t xml:space="preserve">Stabilized Financing</t>
  </si>
  <si>
    <t xml:space="preserve">Operating Expenses (Annual)</t>
  </si>
  <si>
    <t xml:space="preserve">Total Acquisition Price</t>
  </si>
  <si>
    <t xml:space="preserve">Construction Loan Down Payment</t>
  </si>
  <si>
    <t xml:space="preserve">Refinance Loan LTARV</t>
  </si>
  <si>
    <t xml:space="preserve">Real Estate Taxes</t>
  </si>
  <si>
    <t xml:space="preserve">Est. Rehab Budget</t>
  </si>
  <si>
    <t xml:space="preserve">Construction Loan Origination Points</t>
  </si>
  <si>
    <t xml:space="preserve">Refinance Loan Origination Points</t>
  </si>
  <si>
    <t xml:space="preserve">Insurance</t>
  </si>
  <si>
    <t xml:space="preserve">Est. After Repair Value</t>
  </si>
  <si>
    <t xml:space="preserve">Construction Interest Rate</t>
  </si>
  <si>
    <t xml:space="preserve">Refinance Loan Interest Rate</t>
  </si>
  <si>
    <t xml:space="preserve">Repairs &amp; Maintenance</t>
  </si>
  <si>
    <t xml:space="preserve">Holding Period (Months)</t>
  </si>
  <si>
    <t xml:space="preserve">Refinance Method</t>
  </si>
  <si>
    <t xml:space="preserve">LTV</t>
  </si>
  <si>
    <t xml:space="preserve">Utilities</t>
  </si>
  <si>
    <t xml:space="preserve">Min DSCR (if DSCR loan)</t>
  </si>
  <si>
    <t xml:space="preserve">Property Mgmt (%)</t>
  </si>
  <si>
    <t xml:space="preserve">Loan Down Payment</t>
  </si>
  <si>
    <t xml:space="preserve">Vacancy Rate (%)</t>
  </si>
  <si>
    <t xml:space="preserve">Purchase Price</t>
  </si>
  <si>
    <t xml:space="preserve">Est. Rehab Costs</t>
  </si>
  <si>
    <t xml:space="preserve">Total Costs for Financing</t>
  </si>
  <si>
    <t xml:space="preserve">Down Payment</t>
  </si>
  <si>
    <t xml:space="preserve">Construction Promissory Note Amount</t>
  </si>
  <si>
    <t xml:space="preserve">Loan Basis</t>
  </si>
  <si>
    <t xml:space="preserve">Loan Points</t>
  </si>
  <si>
    <t xml:space="preserve">Loan Fees</t>
  </si>
  <si>
    <t xml:space="preserve">Promissory Note Amount</t>
  </si>
  <si>
    <t xml:space="preserve">Pre-Refinance Financing Direct Costs (during construction)</t>
  </si>
  <si>
    <t xml:space="preserve">Acquistion Closing Costs</t>
  </si>
  <si>
    <t xml:space="preserve">Interest Payments (Monthly)</t>
  </si>
  <si>
    <t xml:space="preserve">Real Estate Taxes (Monthly)</t>
  </si>
  <si>
    <t xml:space="preserve">Insurance (Monthly)</t>
  </si>
  <si>
    <t xml:space="preserve">Utilities (Monthly)</t>
  </si>
  <si>
    <t xml:space="preserve">Total Direct Costs</t>
  </si>
  <si>
    <t xml:space="preserve">Total Cash Invested</t>
  </si>
  <si>
    <t xml:space="preserve">Refinance Promissory Note Amount</t>
  </si>
  <si>
    <t xml:space="preserve">DSCR-Supported Max Loan (Note)</t>
  </si>
  <si>
    <t xml:space="preserve">Construction Loan Promissory Note</t>
  </si>
  <si>
    <t xml:space="preserve">Cash (In)/Out From Refinance</t>
  </si>
  <si>
    <t xml:space="preserve">Total Cash Remaining in Project</t>
  </si>
  <si>
    <t xml:space="preserve">Cash Flows</t>
  </si>
  <si>
    <t xml:space="preserve">Monthly</t>
  </si>
  <si>
    <t xml:space="preserve">Annual</t>
  </si>
  <si>
    <t xml:space="preserve">Gross Rental Income</t>
  </si>
  <si>
    <t xml:space="preserve">Vacancy Loss</t>
  </si>
  <si>
    <t xml:space="preserve">Effective Gross Income</t>
  </si>
  <si>
    <t xml:space="preserve">Operating Expenses:</t>
  </si>
  <si>
    <t xml:space="preserve">Property Management</t>
  </si>
  <si>
    <t xml:space="preserve">Total Operating Expenses</t>
  </si>
  <si>
    <t xml:space="preserve">Net Operating Income (NOI)</t>
  </si>
  <si>
    <t xml:space="preserve">Debt Service</t>
  </si>
  <si>
    <t xml:space="preserve">Cash Flow</t>
  </si>
  <si>
    <t xml:space="preserve">DEAL SUMMARY</t>
  </si>
  <si>
    <t xml:space="preserve">Cash Left in Deal</t>
  </si>
  <si>
    <t xml:space="preserve">Monthly Cash Flow</t>
  </si>
  <si>
    <t xml:space="preserve">Cash-on-Cash Return</t>
  </si>
  <si>
    <t xml:space="preserve">Return on Equity (Yr 1)</t>
  </si>
  <si>
    <t xml:space="preserve">5-Year IRR</t>
  </si>
  <si>
    <t xml:space="preserve">Equity Captured (ARV - Loan Balance)</t>
  </si>
  <si>
    <t xml:space="preserve">DSCR at Refinance</t>
  </si>
  <si>
    <t xml:space="preserve">Max Allowable Offer (75% Rule)</t>
  </si>
  <si>
    <t xml:space="preserve">DISCLAIMER AND WAIVER OF CLAIMS.  The foregoing Proforma is based on estimates only and does not constitute a commitment, representation, warranty, or agreement binding on PROJECT RE, LLC, or any of its affiliated companies, members, managers, brokers, agents, or employees, and PROJECT RE or any of its affiliated companies hereby disclaims any such warranty, representation, commitment or agreement. PROJECT RE or any of its affiliated companies further disclaims any warranty or representation of any kind or nature regarding the condition or attributes of the property which is the subject of the Proforma (the “Property”), including without limitation the Property’s structural integrity, potential for improvement, or existing or potential hazardous materials contamination.  Client acknowledges that the purchase and renovation of the Property is a speculative investment which involves a substantial degree of risk of loss of his/her/its entire investment; Client understands and takes full cognizance of, and responsibility for, the risk factors related to the purchase of the Property, and acknowledges his/her/its responsibility to conduct investigation and due diligence, independent of the Proforma or other information provided by PROJECT RE or any of its affiliated companies.  Client waives and releases PROJECT RE or any of its affiliated companies from any claim or liability arising from any loss sustained by Client on account of his/her/its reliance on the Proforma or other information provided by PROJECT RE or any of its affiliated companies regarding the acquisition and development of the Property.
NO GUARANTEE OF ACCURACY.  Neither James Dainard nor PROJECT RE or any of its affiliated companies guarantees, warrants, or represents the accuracy, completeness, or reliability of this calculator or any of its outputs.  All projections, estimated profit, costs, returns, and formulas contained herein are provided for illustrative purposes only, may contain errors, and rely on assumptions that may not occur.  The Client/Investor is solely responsible for independently verifying all projections, estimated profit, costs, and formulas, and for confirming their accuracy with his/her/its own advisors, prior to relying on them for any investment decision.
PROPRIETARY AND CONFIDENTIAL INFORMATION.  This calculator, together with its formulas, structure, methodology, and content, constitutes the proprietary and confidential information of James Dainard and PROJECT RE or any of its affiliated companies.  By accessing or using this calculator, the user acknowledges its proprietary nature and agrees not to copy, reproduce, distribute, disclose, or otherwise share it, in whole or in part, with any other person or entity without the prior written consent of PROJECT RE or any of its affiliated companies.</t>
  </si>
  <si>
    <t xml:space="preserve">Multi-Year Projection Assumptions</t>
  </si>
  <si>
    <t xml:space="preserve">Annual Appreciation Rate</t>
  </si>
  <si>
    <t xml:space="preserve">Annual Rent Growth</t>
  </si>
  <si>
    <t xml:space="preserve">Annual Expense Growth</t>
  </si>
  <si>
    <t xml:space="preserve">Selling Costs (% of Sale Price)</t>
  </si>
  <si>
    <t xml:space="preserve">Year</t>
  </si>
  <si>
    <t xml:space="preserve">Year 0</t>
  </si>
  <si>
    <t xml:space="preserve">Year 1</t>
  </si>
  <si>
    <t xml:space="preserve">Year 2</t>
  </si>
  <si>
    <t xml:space="preserve">Year 3</t>
  </si>
  <si>
    <t xml:space="preserve">Year 4</t>
  </si>
  <si>
    <t xml:space="preserve">Year 5</t>
  </si>
  <si>
    <t xml:space="preserve">Property Value</t>
  </si>
  <si>
    <t xml:space="preserve">Gross Rent</t>
  </si>
  <si>
    <t xml:space="preserve">0</t>
  </si>
  <si>
    <t xml:space="preserve">Operating Expenses</t>
  </si>
  <si>
    <t xml:space="preserve">NOI</t>
  </si>
  <si>
    <t xml:space="preserve">Loan Balance (EOY)</t>
  </si>
  <si>
    <t xml:space="preserve">Equity</t>
  </si>
  <si>
    <t xml:space="preserve">Net Sale Proceeds (Y5)</t>
  </si>
  <si>
    <t xml:space="preserve">Net Cash Flow to Investor</t>
  </si>
  <si>
    <t xml:space="preserve">Projected 5-Year IRR</t>
  </si>
  <si>
    <t xml:space="preserve">IRR is the annualized return on the cash left in the deal (Year 0), including annual cash flow and net proceeds from a sale at the end of Year 5. Yellow cells are assumptions you can change. Debt service is held flat (30-yr fixed refinance); operating expenses grow at the rate above.</t>
  </si>
</sst>
</file>

<file path=xl/styles.xml><?xml version="1.0" encoding="utf-8"?>
<styleSheet xmlns="http://schemas.openxmlformats.org/spreadsheetml/2006/main">
  <numFmts count="12">
    <numFmt numFmtId="164" formatCode="General"/>
    <numFmt numFmtId="165" formatCode="_(\$* #,##0.00_);_(\$* \(#,##0.00\);_(\$* \-??_);_(@_)"/>
    <numFmt numFmtId="166" formatCode="0%"/>
    <numFmt numFmtId="167" formatCode="0.0%"/>
    <numFmt numFmtId="168" formatCode="0.00"/>
    <numFmt numFmtId="169" formatCode="0.000%"/>
    <numFmt numFmtId="170" formatCode="0.00%"/>
    <numFmt numFmtId="171" formatCode="\$#,##0.00_);[RED]&quot;($&quot;#,##0.00\)"/>
    <numFmt numFmtId="172" formatCode="_(* #,##0.00_);_(* \(#,##0.00\);_(* \-??_);_(@_)"/>
    <numFmt numFmtId="173" formatCode="\$#,##0;[RED]&quot;($&quot;#,##0\)"/>
    <numFmt numFmtId="174" formatCode="0.0%;[RED]\(0.0%\)"/>
    <numFmt numFmtId="175" formatCode="#,##0;[RED]\(#,##0\)"/>
  </numFmts>
  <fonts count="18">
    <font>
      <sz val="11"/>
      <color theme="1"/>
      <name val="Calibri"/>
      <family val="2"/>
      <charset val="1"/>
    </font>
    <font>
      <sz val="10"/>
      <name val="Arial"/>
      <family val="0"/>
    </font>
    <font>
      <sz val="10"/>
      <name val="Arial"/>
      <family val="0"/>
    </font>
    <font>
      <sz val="10"/>
      <name val="Arial"/>
      <family val="0"/>
    </font>
    <font>
      <sz val="12"/>
      <name val="Calibri Light"/>
      <family val="2"/>
      <charset val="1"/>
    </font>
    <font>
      <b val="true"/>
      <i val="true"/>
      <u val="single"/>
      <sz val="12"/>
      <name val="Calibri Light"/>
      <family val="2"/>
      <charset val="1"/>
    </font>
    <font>
      <b val="true"/>
      <sz val="12"/>
      <name val="Calibri Light"/>
      <family val="2"/>
      <charset val="1"/>
    </font>
    <font>
      <b val="true"/>
      <i val="true"/>
      <sz val="12"/>
      <name val="Calibri Light"/>
      <family val="2"/>
      <charset val="1"/>
    </font>
    <font>
      <b val="true"/>
      <sz val="12"/>
      <name val="Calibri Light"/>
      <family val="0"/>
      <charset val="1"/>
    </font>
    <font>
      <b val="true"/>
      <sz val="12"/>
      <color rgb="FF1F3864"/>
      <name val="Calibri Light"/>
      <family val="0"/>
      <charset val="1"/>
    </font>
    <font>
      <b val="true"/>
      <sz val="18"/>
      <color rgb="FF1F3864"/>
      <name val="Calibri Light"/>
      <family val="0"/>
      <charset val="1"/>
    </font>
    <font>
      <b val="true"/>
      <sz val="16"/>
      <color rgb="FFFFFFFF"/>
      <name val="Calibri Light"/>
      <family val="0"/>
      <charset val="1"/>
    </font>
    <font>
      <sz val="10"/>
      <name val="Arial"/>
      <family val="2"/>
    </font>
    <font>
      <b val="true"/>
      <sz val="14"/>
      <color rgb="FF1F3864"/>
      <name val="Calibri Light"/>
      <family val="0"/>
      <charset val="1"/>
    </font>
    <font>
      <sz val="11"/>
      <name val="Calibri Light"/>
      <family val="0"/>
      <charset val="1"/>
    </font>
    <font>
      <b val="true"/>
      <sz val="11"/>
      <name val="Calibri Light"/>
      <family val="0"/>
      <charset val="1"/>
    </font>
    <font>
      <b val="true"/>
      <sz val="11"/>
      <color rgb="FFFFFFFF"/>
      <name val="Calibri Light"/>
      <family val="0"/>
      <charset val="1"/>
    </font>
    <font>
      <i val="true"/>
      <sz val="9"/>
      <name val="Calibri Light"/>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9E1F2"/>
        <bgColor rgb="FFCCFFFF"/>
      </patternFill>
    </fill>
  </fills>
  <borders count="8">
    <border diagonalUp="false" diagonalDown="false">
      <left/>
      <right/>
      <top/>
      <bottom/>
      <diagonal/>
    </border>
    <border diagonalUp="false" diagonalDown="false">
      <left style="thin">
        <color rgb="FF909395"/>
      </left>
      <right style="thin">
        <color rgb="FF909395"/>
      </right>
      <top style="thin">
        <color rgb="FF909395"/>
      </top>
      <bottom style="thin">
        <color rgb="FF909395"/>
      </bottom>
      <diagonal/>
    </border>
    <border diagonalUp="false" diagonalDown="false">
      <left style="medium">
        <color rgb="FF1F3864"/>
      </left>
      <right style="thin">
        <color rgb="FF1F3864"/>
      </right>
      <top style="medium">
        <color rgb="FF1F3864"/>
      </top>
      <bottom style="thin">
        <color rgb="FF1F3864"/>
      </bottom>
      <diagonal/>
    </border>
    <border diagonalUp="false" diagonalDown="false">
      <left style="medium">
        <color rgb="FF1F3864"/>
      </left>
      <right style="thin">
        <color rgb="FF1F3864"/>
      </right>
      <top style="thin">
        <color rgb="FF1F3864"/>
      </top>
      <bottom style="thin">
        <color rgb="FF1F3864"/>
      </bottom>
      <diagonal/>
    </border>
    <border diagonalUp="false" diagonalDown="false">
      <left style="thin">
        <color rgb="FF1F3864"/>
      </left>
      <right style="thin">
        <color rgb="FF1F3864"/>
      </right>
      <top style="thin">
        <color rgb="FF1F3864"/>
      </top>
      <bottom style="thin">
        <color rgb="FF1F3864"/>
      </bottom>
      <diagonal/>
    </border>
    <border diagonalUp="false" diagonalDown="false">
      <left style="medium">
        <color rgb="FF1F3864"/>
      </left>
      <right style="thin">
        <color rgb="FF1F3864"/>
      </right>
      <top style="thin">
        <color rgb="FF1F3864"/>
      </top>
      <bottom style="medium">
        <color rgb="FF1F3864"/>
      </bottom>
      <diagonal/>
    </border>
    <border diagonalUp="false" diagonalDown="false">
      <left style="thin">
        <color rgb="FF1F3864"/>
      </left>
      <right style="thin">
        <color rgb="FF1F3864"/>
      </right>
      <top style="thin">
        <color rgb="FF1F3864"/>
      </top>
      <bottom style="medium">
        <color rgb="FF1F3864"/>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6" fillId="2" borderId="1" xfId="0" applyFont="true" applyBorder="true" applyAlignment="true" applyProtection="true">
      <alignment horizontal="left" vertical="center" textRotation="0" wrapText="false" indent="0" shrinkToFit="false"/>
      <protection locked="false" hidden="false"/>
    </xf>
    <xf numFmtId="164" fontId="6" fillId="0" borderId="1" xfId="0" applyFont="true" applyBorder="true" applyAlignment="true" applyProtection="false">
      <alignment horizontal="left" vertical="center" textRotation="0" wrapText="false" indent="1" shrinkToFit="false"/>
      <protection locked="true" hidden="false"/>
    </xf>
    <xf numFmtId="166" fontId="6" fillId="2" borderId="1" xfId="0" applyFont="true" applyBorder="true" applyAlignment="true" applyProtection="true">
      <alignment horizontal="center" vertical="center" textRotation="0" wrapText="false" indent="0" shrinkToFit="false"/>
      <protection locked="false" hidden="false"/>
    </xf>
    <xf numFmtId="165" fontId="6" fillId="2" borderId="0" xfId="0" applyFont="true" applyBorder="false" applyAlignment="true" applyProtection="false">
      <alignment horizontal="left" vertical="bottom" textRotation="0" wrapText="false" indent="0" shrinkToFit="false"/>
      <protection locked="true" hidden="false"/>
    </xf>
    <xf numFmtId="165" fontId="6" fillId="2" borderId="1" xfId="0" applyFont="true" applyBorder="true" applyAlignment="true" applyProtection="true">
      <alignment horizontal="center" vertical="center" textRotation="0" wrapText="false" indent="0" shrinkToFit="false"/>
      <protection locked="false" hidden="false"/>
    </xf>
    <xf numFmtId="167" fontId="6" fillId="2" borderId="1" xfId="0" applyFont="true" applyBorder="true" applyAlignment="true" applyProtection="true">
      <alignment horizontal="center" vertical="center" textRotation="0" wrapText="false" indent="0" shrinkToFit="false"/>
      <protection locked="false" hidden="false"/>
    </xf>
    <xf numFmtId="164" fontId="6" fillId="2"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1"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1" shrinkToFit="false"/>
      <protection locked="true" hidden="false"/>
    </xf>
    <xf numFmtId="168" fontId="6" fillId="2"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left" vertical="bottom" textRotation="0" wrapText="false" indent="0" shrinkToFit="false"/>
      <protection locked="true" hidden="false"/>
    </xf>
    <xf numFmtId="169" fontId="4" fillId="0" borderId="0" xfId="0" applyFont="true" applyBorder="true" applyAlignment="true" applyProtection="true">
      <alignment horizontal="left" vertical="center" textRotation="0" wrapText="false" indent="0" shrinkToFit="false"/>
      <protection locked="true" hidden="true"/>
    </xf>
    <xf numFmtId="164" fontId="4" fillId="0" borderId="0" xfId="0" applyFont="true" applyBorder="false" applyAlignment="true" applyProtection="true">
      <alignment horizontal="general" vertical="bottom" textRotation="0" wrapText="false" indent="0" shrinkToFit="false"/>
      <protection locked="true" hidden="true"/>
    </xf>
    <xf numFmtId="169" fontId="4" fillId="0" borderId="0" xfId="0" applyFont="true" applyBorder="false" applyAlignment="true" applyProtection="true">
      <alignment horizontal="left" vertical="center" textRotation="0" wrapText="false" indent="0" shrinkToFit="false"/>
      <protection locked="true" hidden="true"/>
    </xf>
    <xf numFmtId="166" fontId="4" fillId="0" borderId="1" xfId="0" applyFont="true" applyBorder="true" applyAlignment="true" applyProtection="true">
      <alignment horizontal="left" vertical="center" textRotation="0" wrapText="false" indent="0" shrinkToFit="false"/>
      <protection locked="true" hidden="true"/>
    </xf>
    <xf numFmtId="165" fontId="4" fillId="0" borderId="1" xfId="0" applyFont="true" applyBorder="true" applyAlignment="true" applyProtection="false">
      <alignment horizontal="general" vertical="center" textRotation="0" wrapText="false" indent="0" shrinkToFit="false"/>
      <protection locked="true" hidden="false"/>
    </xf>
    <xf numFmtId="170" fontId="4" fillId="0" borderId="0" xfId="0" applyFont="true" applyBorder="false" applyAlignment="true" applyProtection="true">
      <alignment horizontal="center" vertical="bottom" textRotation="0" wrapText="false" indent="0" shrinkToFit="false"/>
      <protection locked="true" hidden="true"/>
    </xf>
    <xf numFmtId="165" fontId="4" fillId="0" borderId="1" xfId="0" applyFont="true" applyBorder="true" applyAlignment="true" applyProtection="true">
      <alignment horizontal="general" vertical="center" textRotation="0" wrapText="false" indent="0" shrinkToFit="false"/>
      <protection locked="true" hidden="true"/>
    </xf>
    <xf numFmtId="171" fontId="4" fillId="0" borderId="1" xfId="0" applyFont="true" applyBorder="true" applyAlignment="true" applyProtection="true">
      <alignment horizontal="left" vertical="center" textRotation="0" wrapText="false" indent="0" shrinkToFit="false"/>
      <protection locked="true" hidden="true"/>
    </xf>
    <xf numFmtId="164" fontId="6" fillId="0" borderId="1" xfId="0" applyFont="true" applyBorder="true" applyAlignment="true" applyProtection="true">
      <alignment horizontal="general" vertical="center" textRotation="0" wrapText="false" indent="0" shrinkToFit="false"/>
      <protection locked="true" hidden="true"/>
    </xf>
    <xf numFmtId="166" fontId="6" fillId="0" borderId="1" xfId="0" applyFont="true" applyBorder="true" applyAlignment="true" applyProtection="true">
      <alignment horizontal="center" vertical="center" textRotation="0" wrapText="false" indent="0" shrinkToFit="false"/>
      <protection locked="true" hidden="true"/>
    </xf>
    <xf numFmtId="165" fontId="6" fillId="0" borderId="1" xfId="0" applyFont="true" applyBorder="true" applyAlignment="true" applyProtection="true">
      <alignment horizontal="right" vertical="center" textRotation="0" wrapText="false" indent="0" shrinkToFit="false"/>
      <protection locked="true" hidden="true"/>
    </xf>
    <xf numFmtId="164" fontId="6" fillId="0" borderId="0" xfId="0" applyFont="true" applyBorder="false" applyAlignment="true" applyProtection="true">
      <alignment horizontal="general" vertical="center" textRotation="0" wrapText="false" indent="0" shrinkToFit="false"/>
      <protection locked="true" hidden="true"/>
    </xf>
    <xf numFmtId="166" fontId="6" fillId="0" borderId="0" xfId="0" applyFont="true" applyBorder="false" applyAlignment="true" applyProtection="true">
      <alignment horizontal="center" vertical="center" textRotation="0" wrapText="false" indent="0" shrinkToFit="false"/>
      <protection locked="true" hidden="true"/>
    </xf>
    <xf numFmtId="165" fontId="6" fillId="0" borderId="0" xfId="0" applyFont="true" applyBorder="false" applyAlignment="true" applyProtection="true">
      <alignment horizontal="right" vertical="center" textRotation="0" wrapText="false" indent="0" shrinkToFit="false"/>
      <protection locked="true" hidden="true"/>
    </xf>
    <xf numFmtId="169" fontId="4" fillId="0" borderId="1" xfId="0" applyFont="true" applyBorder="true" applyAlignment="true" applyProtection="true">
      <alignment horizontal="left" vertical="center" textRotation="0" wrapText="false" indent="0" shrinkToFit="false"/>
      <protection locked="true" hidden="true"/>
    </xf>
    <xf numFmtId="164" fontId="4" fillId="0" borderId="1" xfId="0" applyFont="true" applyBorder="true" applyAlignment="true" applyProtection="true">
      <alignment horizontal="general" vertical="center" textRotation="0" wrapText="false" indent="0" shrinkToFit="false"/>
      <protection locked="true" hidden="true"/>
    </xf>
    <xf numFmtId="165" fontId="4" fillId="2" borderId="1" xfId="0" applyFont="true" applyBorder="true" applyAlignment="true" applyProtection="true">
      <alignment horizontal="general" vertical="center" textRotation="0" wrapText="false" indent="0" shrinkToFit="false"/>
      <protection locked="false" hidden="true"/>
    </xf>
    <xf numFmtId="164" fontId="6" fillId="0" borderId="1" xfId="0" applyFont="true" applyBorder="true" applyAlignment="true" applyProtection="true">
      <alignment horizontal="general" vertical="bottom" textRotation="0" wrapText="false" indent="0" shrinkToFit="false"/>
      <protection locked="true" hidden="true"/>
    </xf>
    <xf numFmtId="165" fontId="6" fillId="0" borderId="1" xfId="0" applyFont="true" applyBorder="true" applyAlignment="true" applyProtection="true">
      <alignment horizontal="general" vertical="center" textRotation="0" wrapText="false" indent="0" shrinkToFit="false"/>
      <protection locked="true" hidden="true"/>
    </xf>
    <xf numFmtId="164" fontId="6" fillId="0" borderId="0" xfId="0" applyFont="true" applyBorder="false" applyAlignment="true" applyProtection="true">
      <alignment horizontal="general" vertical="bottom" textRotation="0" wrapText="false" indent="0" shrinkToFit="false"/>
      <protection locked="true" hidden="true"/>
    </xf>
    <xf numFmtId="165" fontId="6" fillId="0" borderId="0" xfId="0" applyFont="true" applyBorder="false" applyAlignment="true" applyProtection="true">
      <alignment horizontal="general" vertical="center" textRotation="0" wrapText="false" indent="0" shrinkToFit="false"/>
      <protection locked="true" hidden="true"/>
    </xf>
    <xf numFmtId="165" fontId="4" fillId="0" borderId="1" xfId="0" applyFont="true" applyBorder="true" applyAlignment="true" applyProtection="true">
      <alignment horizontal="general" vertical="center" textRotation="0" wrapText="false" indent="0" shrinkToFit="false"/>
      <protection locked="false" hidden="true"/>
    </xf>
    <xf numFmtId="165" fontId="4" fillId="0" borderId="0" xfId="0" applyFont="true" applyBorder="false" applyAlignment="true" applyProtection="true">
      <alignment horizontal="left" vertical="center" textRotation="0" wrapText="false" indent="0" shrinkToFit="false"/>
      <protection locked="true" hidden="true"/>
    </xf>
    <xf numFmtId="164" fontId="8" fillId="0" borderId="0" xfId="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72" fontId="4" fillId="2" borderId="0" xfId="0" applyFont="true" applyBorder="false" applyAlignment="true" applyProtection="true">
      <alignment horizontal="general" vertical="bottom" textRotation="0" wrapText="false" indent="0" shrinkToFit="false"/>
      <protection locked="fals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9" fillId="4" borderId="3" xfId="0" applyFont="true" applyBorder="true" applyAlignment="true" applyProtection="false">
      <alignment horizontal="left" vertical="center" textRotation="0" wrapText="false" indent="1" shrinkToFit="false"/>
      <protection locked="true" hidden="false"/>
    </xf>
    <xf numFmtId="173" fontId="10" fillId="0" borderId="4" xfId="0" applyFont="true" applyBorder="true" applyAlignment="true" applyProtection="false">
      <alignment horizontal="right" vertical="center" textRotation="0" wrapText="false" indent="1" shrinkToFit="false"/>
      <protection locked="true" hidden="false"/>
    </xf>
    <xf numFmtId="174" fontId="10" fillId="0" borderId="4" xfId="0" applyFont="true" applyBorder="true" applyAlignment="true" applyProtection="false">
      <alignment horizontal="right" vertical="center" textRotation="0" wrapText="false" indent="1" shrinkToFit="false"/>
      <protection locked="true" hidden="false"/>
    </xf>
    <xf numFmtId="168" fontId="10" fillId="0" borderId="4" xfId="0" applyFont="true" applyBorder="true" applyAlignment="true" applyProtection="false">
      <alignment horizontal="right" vertical="center" textRotation="0" wrapText="false" indent="1" shrinkToFit="false"/>
      <protection locked="true" hidden="false"/>
    </xf>
    <xf numFmtId="164" fontId="9" fillId="4" borderId="5" xfId="0" applyFont="true" applyBorder="true" applyAlignment="true" applyProtection="false">
      <alignment horizontal="left" vertical="center" textRotation="0" wrapText="false" indent="1" shrinkToFit="false"/>
      <protection locked="true" hidden="false"/>
    </xf>
    <xf numFmtId="173" fontId="10" fillId="0" borderId="6" xfId="0" applyFont="true" applyBorder="true" applyAlignment="true" applyProtection="false">
      <alignment horizontal="right" vertical="center" textRotation="0" wrapText="false" indent="1"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7" fontId="15" fillId="2" borderId="0" xfId="0" applyFont="true" applyBorder="false" applyAlignment="true" applyProtection="false">
      <alignment horizontal="center" vertical="bottom" textRotation="0" wrapText="false" indent="0" shrinkToFit="false"/>
      <protection locked="true" hidden="false"/>
    </xf>
    <xf numFmtId="164" fontId="16" fillId="3" borderId="7" xfId="0" applyFont="true" applyBorder="true" applyAlignment="true" applyProtection="false">
      <alignment horizontal="general" vertical="bottom" textRotation="0" wrapText="false" indent="0" shrinkToFit="false"/>
      <protection locked="true" hidden="false"/>
    </xf>
    <xf numFmtId="164" fontId="16" fillId="3" borderId="7" xfId="0" applyFont="true" applyBorder="true" applyAlignment="true" applyProtection="false">
      <alignment horizontal="center" vertical="bottom" textRotation="0" wrapText="false" indent="0" shrinkToFit="false"/>
      <protection locked="true" hidden="false"/>
    </xf>
    <xf numFmtId="164" fontId="14" fillId="0" borderId="7" xfId="0" applyFont="true" applyBorder="true" applyAlignment="true" applyProtection="false">
      <alignment horizontal="general" vertical="bottom" textRotation="0" wrapText="false" indent="0" shrinkToFit="false"/>
      <protection locked="true" hidden="false"/>
    </xf>
    <xf numFmtId="175" fontId="14" fillId="0" borderId="7" xfId="0" applyFont="true" applyBorder="true" applyAlignment="tru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general" vertical="bottom" textRotation="0" wrapText="false" indent="0" shrinkToFit="false"/>
      <protection locked="true" hidden="false"/>
    </xf>
    <xf numFmtId="175" fontId="15" fillId="0" borderId="7" xfId="0" applyFont="true" applyBorder="true" applyAlignment="true" applyProtection="false">
      <alignment horizontal="general" vertical="bottom" textRotation="0" wrapText="false" indent="0" shrinkToFit="false"/>
      <protection locked="true" hidden="false"/>
    </xf>
    <xf numFmtId="175" fontId="15" fillId="4" borderId="7" xfId="0" applyFont="true" applyBorder="true" applyAlignment="true" applyProtection="false">
      <alignment horizontal="general" vertical="bottom" textRotation="0" wrapText="false" indent="0" shrinkToFit="false"/>
      <protection locked="true" hidden="false"/>
    </xf>
    <xf numFmtId="167" fontId="13" fillId="4" borderId="0"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09395"/>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406440</xdr:colOff>
      <xdr:row>1</xdr:row>
      <xdr:rowOff>101520</xdr:rowOff>
    </xdr:from>
    <xdr:to>
      <xdr:col>1</xdr:col>
      <xdr:colOff>3673800</xdr:colOff>
      <xdr:row>5</xdr:row>
      <xdr:rowOff>171000</xdr:rowOff>
    </xdr:to>
    <xdr:pic>
      <xdr:nvPicPr>
        <xdr:cNvPr id="0" name="Picture 2" descr=""/>
        <xdr:cNvPicPr/>
      </xdr:nvPicPr>
      <xdr:blipFill>
        <a:blip r:embed="rId1"/>
        <a:stretch/>
      </xdr:blipFill>
      <xdr:spPr>
        <a:xfrm>
          <a:off x="406440" y="291960"/>
          <a:ext cx="3889080" cy="8316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109"/>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I21" activeCellId="0" sqref="I21"/>
    </sheetView>
  </sheetViews>
  <sheetFormatPr defaultColWidth="8.82421875" defaultRowHeight="15" zeroHeight="false" outlineLevelRow="0" outlineLevelCol="0"/>
  <cols>
    <col collapsed="false" customWidth="false" hidden="false" outlineLevel="0" max="1" min="1" style="1" width="8.82"/>
    <col collapsed="false" customWidth="true" hidden="false" outlineLevel="0" max="2" min="2" style="1" width="67"/>
    <col collapsed="false" customWidth="true" hidden="false" outlineLevel="0" max="3" min="3" style="1" width="19"/>
    <col collapsed="false" customWidth="true" hidden="false" outlineLevel="0" max="4" min="4" style="1" width="44.73"/>
    <col collapsed="false" customWidth="true" hidden="false" outlineLevel="0" max="5" min="5" style="1" width="7.18"/>
    <col collapsed="false" customWidth="true" hidden="false" outlineLevel="0" max="6" min="6" style="1" width="35.18"/>
    <col collapsed="false" customWidth="true" hidden="false" outlineLevel="0" max="7" min="7" style="1" width="11.45"/>
    <col collapsed="false" customWidth="true" hidden="false" outlineLevel="0" max="8" min="8" style="1" width="8.27"/>
    <col collapsed="false" customWidth="true" hidden="false" outlineLevel="0" max="9" min="9" style="1" width="30.45"/>
    <col collapsed="false" customWidth="true" hidden="false" outlineLevel="0" max="10" min="10" style="1" width="23.45"/>
    <col collapsed="false" customWidth="true" hidden="false" outlineLevel="0" max="14" min="11" style="1" width="0.18"/>
    <col collapsed="false" customWidth="false" hidden="false" outlineLevel="0" max="16384" min="15" style="1" width="8.82"/>
  </cols>
  <sheetData>
    <row r="2" customFormat="false" ht="15" hidden="false" customHeight="true" outlineLevel="0" collapsed="false">
      <c r="C2" s="2"/>
      <c r="D2" s="3"/>
      <c r="E2" s="3"/>
      <c r="F2" s="2"/>
      <c r="G2" s="2"/>
      <c r="H2" s="2"/>
      <c r="I2" s="2"/>
      <c r="J2" s="2"/>
      <c r="K2" s="2"/>
      <c r="L2" s="2"/>
      <c r="M2" s="2"/>
      <c r="N2" s="2"/>
    </row>
    <row r="3" customFormat="false" ht="15" hidden="false" customHeight="true" outlineLevel="0" collapsed="false">
      <c r="C3" s="2"/>
      <c r="D3" s="4"/>
      <c r="E3" s="4"/>
      <c r="F3" s="2"/>
      <c r="G3" s="2"/>
      <c r="H3" s="2"/>
      <c r="I3" s="2"/>
      <c r="J3" s="2"/>
      <c r="K3" s="2"/>
      <c r="L3" s="2"/>
      <c r="M3" s="2"/>
      <c r="N3" s="2"/>
    </row>
    <row r="4" customFormat="false" ht="15" hidden="false" customHeight="true" outlineLevel="0" collapsed="false">
      <c r="C4" s="2"/>
      <c r="D4" s="4"/>
      <c r="E4" s="4"/>
      <c r="F4" s="2"/>
      <c r="G4" s="2"/>
      <c r="H4" s="2"/>
      <c r="I4" s="2"/>
      <c r="J4" s="2"/>
      <c r="K4" s="2"/>
      <c r="L4" s="2"/>
      <c r="M4" s="2"/>
      <c r="N4" s="2"/>
    </row>
    <row r="5" customFormat="false" ht="15" hidden="false" customHeight="true" outlineLevel="0" collapsed="false">
      <c r="C5" s="2"/>
      <c r="D5" s="4"/>
      <c r="E5" s="4"/>
      <c r="F5" s="2"/>
      <c r="G5" s="2"/>
      <c r="H5" s="2"/>
      <c r="I5" s="2"/>
      <c r="J5" s="2"/>
      <c r="K5" s="2"/>
      <c r="L5" s="2"/>
      <c r="M5" s="2"/>
      <c r="N5" s="2"/>
    </row>
    <row r="6" customFormat="false" ht="15" hidden="false" customHeight="true" outlineLevel="0" collapsed="false">
      <c r="C6" s="2"/>
      <c r="D6" s="4"/>
      <c r="E6" s="4"/>
      <c r="F6" s="2"/>
      <c r="G6" s="2"/>
      <c r="H6" s="2"/>
      <c r="I6" s="2"/>
      <c r="J6" s="2"/>
      <c r="K6" s="2"/>
      <c r="L6" s="2"/>
      <c r="M6" s="2"/>
      <c r="N6" s="2"/>
    </row>
    <row r="7" customFormat="false" ht="15" hidden="false" customHeight="true" outlineLevel="0" collapsed="false">
      <c r="C7" s="2"/>
      <c r="D7" s="4"/>
      <c r="E7" s="4"/>
      <c r="F7" s="2"/>
      <c r="G7" s="2"/>
      <c r="H7" s="2"/>
      <c r="I7" s="2"/>
      <c r="J7" s="2"/>
      <c r="K7" s="2"/>
      <c r="L7" s="2"/>
      <c r="M7" s="2"/>
      <c r="N7" s="2"/>
    </row>
    <row r="8" customFormat="false" ht="15" hidden="false" customHeight="true" outlineLevel="0" collapsed="false">
      <c r="C8" s="2"/>
      <c r="D8" s="4"/>
      <c r="E8" s="4"/>
      <c r="F8" s="2"/>
      <c r="G8" s="2"/>
      <c r="H8" s="2"/>
      <c r="I8" s="2"/>
      <c r="J8" s="2"/>
      <c r="K8" s="2"/>
      <c r="L8" s="2"/>
      <c r="M8" s="2"/>
      <c r="N8" s="2"/>
    </row>
    <row r="9" customFormat="false" ht="15" hidden="false" customHeight="true" outlineLevel="0" collapsed="false">
      <c r="B9" s="5"/>
      <c r="C9" s="5"/>
      <c r="D9" s="5"/>
      <c r="E9" s="6"/>
      <c r="F9" s="6"/>
      <c r="G9" s="6"/>
      <c r="H9" s="6"/>
      <c r="I9" s="6"/>
      <c r="J9" s="6"/>
      <c r="K9" s="6"/>
      <c r="L9" s="6"/>
      <c r="M9" s="6"/>
      <c r="N9" s="6"/>
    </row>
    <row r="10" customFormat="false" ht="15" hidden="false" customHeight="true" outlineLevel="0" collapsed="false">
      <c r="B10" s="7" t="s">
        <v>0</v>
      </c>
      <c r="D10" s="8"/>
      <c r="E10" s="8"/>
    </row>
    <row r="11" customFormat="false" ht="15" hidden="false" customHeight="true" outlineLevel="0" collapsed="false">
      <c r="B11" s="9"/>
      <c r="C11" s="9"/>
      <c r="D11" s="7" t="s">
        <v>1</v>
      </c>
      <c r="F11" s="7" t="s">
        <v>2</v>
      </c>
      <c r="H11" s="9"/>
      <c r="I11" s="7" t="s">
        <v>3</v>
      </c>
    </row>
    <row r="12" customFormat="false" ht="24.75" hidden="false" customHeight="true" outlineLevel="0" collapsed="false">
      <c r="B12" s="10" t="s">
        <v>4</v>
      </c>
      <c r="C12" s="11" t="n">
        <v>215000</v>
      </c>
      <c r="D12" s="12" t="s">
        <v>5</v>
      </c>
      <c r="E12" s="13" t="n">
        <v>0.2</v>
      </c>
      <c r="F12" s="12" t="s">
        <v>6</v>
      </c>
      <c r="G12" s="13" t="n">
        <v>0.75</v>
      </c>
      <c r="I12" s="7" t="s">
        <v>7</v>
      </c>
      <c r="J12" s="14" t="n">
        <v>3000</v>
      </c>
    </row>
    <row r="13" customFormat="false" ht="24.75" hidden="false" customHeight="true" outlineLevel="0" collapsed="false">
      <c r="B13" s="10" t="s">
        <v>8</v>
      </c>
      <c r="C13" s="15" t="n">
        <v>80000</v>
      </c>
      <c r="D13" s="12" t="s">
        <v>9</v>
      </c>
      <c r="E13" s="13" t="n">
        <v>0.02</v>
      </c>
      <c r="F13" s="12" t="s">
        <v>10</v>
      </c>
      <c r="G13" s="13" t="n">
        <v>0.01</v>
      </c>
      <c r="I13" s="7" t="s">
        <v>11</v>
      </c>
      <c r="J13" s="14" t="n">
        <v>1200</v>
      </c>
    </row>
    <row r="14" customFormat="false" ht="24.75" hidden="false" customHeight="true" outlineLevel="0" collapsed="false">
      <c r="B14" s="10" t="s">
        <v>12</v>
      </c>
      <c r="C14" s="11" t="n">
        <v>399950</v>
      </c>
      <c r="D14" s="12" t="s">
        <v>13</v>
      </c>
      <c r="E14" s="13" t="n">
        <v>0.12</v>
      </c>
      <c r="F14" s="12" t="s">
        <v>14</v>
      </c>
      <c r="G14" s="16" t="n">
        <v>0.075</v>
      </c>
      <c r="I14" s="7" t="s">
        <v>15</v>
      </c>
      <c r="J14" s="14" t="n">
        <v>1650</v>
      </c>
    </row>
    <row r="15" customFormat="false" ht="24.75" hidden="false" customHeight="true" outlineLevel="0" collapsed="false">
      <c r="B15" s="10" t="s">
        <v>16</v>
      </c>
      <c r="C15" s="17" t="n">
        <v>4</v>
      </c>
      <c r="D15" s="18"/>
      <c r="E15" s="19"/>
      <c r="F15" s="20" t="s">
        <v>17</v>
      </c>
      <c r="G15" s="21" t="s">
        <v>18</v>
      </c>
      <c r="I15" s="7" t="s">
        <v>19</v>
      </c>
      <c r="J15" s="14" t="n">
        <v>0</v>
      </c>
    </row>
    <row r="16" customFormat="false" ht="30" hidden="false" customHeight="true" outlineLevel="0" collapsed="false">
      <c r="B16" s="9"/>
      <c r="C16" s="9"/>
      <c r="F16" s="22" t="s">
        <v>20</v>
      </c>
      <c r="G16" s="23" t="n">
        <v>1.2</v>
      </c>
      <c r="H16" s="9"/>
      <c r="I16" s="7" t="s">
        <v>21</v>
      </c>
      <c r="J16" s="24" t="n">
        <v>0.08</v>
      </c>
    </row>
    <row r="17" customFormat="false" ht="15" hidden="false" customHeight="true" outlineLevel="0" collapsed="false">
      <c r="B17" s="25" t="s">
        <v>22</v>
      </c>
      <c r="C17" s="25"/>
      <c r="D17" s="25"/>
      <c r="E17" s="26"/>
      <c r="I17" s="7" t="s">
        <v>23</v>
      </c>
      <c r="J17" s="24" t="n">
        <v>0.05</v>
      </c>
    </row>
    <row r="18" customFormat="false" ht="15" hidden="false" customHeight="true" outlineLevel="0" collapsed="false">
      <c r="B18" s="27"/>
      <c r="C18" s="27"/>
      <c r="D18" s="27"/>
      <c r="E18" s="26"/>
    </row>
    <row r="19" customFormat="false" ht="24.75" hidden="false" customHeight="true" outlineLevel="0" collapsed="false">
      <c r="B19" s="28" t="s">
        <v>24</v>
      </c>
      <c r="C19" s="28"/>
      <c r="D19" s="29" t="n">
        <f aca="false">C12</f>
        <v>215000</v>
      </c>
      <c r="E19" s="30"/>
    </row>
    <row r="20" customFormat="false" ht="24.75" hidden="false" customHeight="true" outlineLevel="0" collapsed="false">
      <c r="B20" s="28" t="s">
        <v>25</v>
      </c>
      <c r="C20" s="28"/>
      <c r="D20" s="31" t="n">
        <f aca="false">C13</f>
        <v>80000</v>
      </c>
      <c r="E20" s="26"/>
    </row>
    <row r="21" customFormat="false" ht="24.75" hidden="false" customHeight="true" outlineLevel="0" collapsed="false">
      <c r="B21" s="32" t="s">
        <v>26</v>
      </c>
      <c r="C21" s="32"/>
      <c r="D21" s="31" t="n">
        <f aca="false">D19+D20</f>
        <v>295000</v>
      </c>
      <c r="E21" s="26"/>
    </row>
    <row r="22" customFormat="false" ht="24.75" hidden="false" customHeight="true" outlineLevel="0" collapsed="false">
      <c r="B22" s="33" t="s">
        <v>27</v>
      </c>
      <c r="C22" s="34" t="n">
        <f aca="false">E12</f>
        <v>0.2</v>
      </c>
      <c r="D22" s="35" t="n">
        <f aca="false">D21*E12</f>
        <v>59000</v>
      </c>
      <c r="E22" s="26"/>
    </row>
    <row r="23" customFormat="false" ht="30" hidden="false" customHeight="true" outlineLevel="0" collapsed="false">
      <c r="B23" s="36"/>
      <c r="C23" s="37"/>
      <c r="D23" s="38"/>
      <c r="E23" s="26"/>
    </row>
    <row r="24" customFormat="false" ht="15" hidden="false" customHeight="true" outlineLevel="0" collapsed="false">
      <c r="B24" s="25" t="s">
        <v>28</v>
      </c>
      <c r="C24" s="25"/>
      <c r="D24" s="25"/>
      <c r="E24" s="26"/>
    </row>
    <row r="25" customFormat="false" ht="15" hidden="false" customHeight="true" outlineLevel="0" collapsed="false">
      <c r="B25" s="27"/>
      <c r="C25" s="27"/>
      <c r="D25" s="27"/>
      <c r="E25" s="26"/>
    </row>
    <row r="26" customFormat="false" ht="24.75" hidden="false" customHeight="true" outlineLevel="0" collapsed="false">
      <c r="B26" s="39" t="s">
        <v>29</v>
      </c>
      <c r="C26" s="39"/>
      <c r="D26" s="31" t="n">
        <f aca="false">D21-D22</f>
        <v>236000</v>
      </c>
      <c r="E26" s="26"/>
    </row>
    <row r="27" customFormat="false" ht="24.75" hidden="false" customHeight="true" outlineLevel="0" collapsed="false">
      <c r="B27" s="40" t="s">
        <v>30</v>
      </c>
      <c r="C27" s="34" t="n">
        <f aca="false">E13</f>
        <v>0.02</v>
      </c>
      <c r="D27" s="31" t="n">
        <f aca="false">D26*E13</f>
        <v>4720</v>
      </c>
      <c r="E27" s="26"/>
    </row>
    <row r="28" customFormat="false" ht="24.75" hidden="false" customHeight="true" outlineLevel="0" collapsed="false">
      <c r="B28" s="40" t="s">
        <v>31</v>
      </c>
      <c r="C28" s="40"/>
      <c r="D28" s="41" t="n">
        <v>800</v>
      </c>
      <c r="E28" s="26"/>
    </row>
    <row r="29" customFormat="false" ht="24.75" hidden="false" customHeight="true" outlineLevel="0" collapsed="false">
      <c r="B29" s="33" t="s">
        <v>32</v>
      </c>
      <c r="C29" s="42"/>
      <c r="D29" s="43" t="n">
        <f aca="false">SUM(D26:D28)</f>
        <v>241520</v>
      </c>
      <c r="E29" s="26"/>
    </row>
    <row r="30" customFormat="false" ht="30" hidden="false" customHeight="true" outlineLevel="0" collapsed="false">
      <c r="B30" s="36"/>
      <c r="C30" s="44"/>
      <c r="D30" s="45"/>
      <c r="E30" s="26"/>
    </row>
    <row r="31" customFormat="false" ht="15" hidden="false" customHeight="true" outlineLevel="0" collapsed="false">
      <c r="B31" s="25" t="s">
        <v>33</v>
      </c>
      <c r="C31" s="25"/>
      <c r="D31" s="25"/>
      <c r="E31" s="26"/>
    </row>
    <row r="32" customFormat="false" ht="15" hidden="false" customHeight="true" outlineLevel="0" collapsed="false">
      <c r="B32" s="27"/>
      <c r="C32" s="27"/>
      <c r="D32" s="27"/>
      <c r="E32" s="26"/>
    </row>
    <row r="33" customFormat="false" ht="24.75" hidden="false" customHeight="true" outlineLevel="0" collapsed="false">
      <c r="A33" s="4"/>
      <c r="B33" s="40" t="s">
        <v>24</v>
      </c>
      <c r="C33" s="28"/>
      <c r="D33" s="31"/>
      <c r="E33" s="26"/>
    </row>
    <row r="34" customFormat="false" ht="24.75" hidden="false" customHeight="true" outlineLevel="0" collapsed="false">
      <c r="A34" s="4"/>
      <c r="B34" s="40" t="s">
        <v>25</v>
      </c>
      <c r="C34" s="28"/>
      <c r="D34" s="31" t="n">
        <f aca="false">D20</f>
        <v>80000</v>
      </c>
      <c r="E34" s="26"/>
    </row>
    <row r="35" customFormat="false" ht="24.75" hidden="false" customHeight="true" outlineLevel="0" collapsed="false">
      <c r="A35" s="4"/>
      <c r="B35" s="40" t="s">
        <v>34</v>
      </c>
      <c r="C35" s="40"/>
      <c r="D35" s="41" t="n">
        <v>1500</v>
      </c>
      <c r="E35" s="26"/>
    </row>
    <row r="36" customFormat="false" ht="24.75" hidden="false" customHeight="true" outlineLevel="0" collapsed="false">
      <c r="A36" s="4"/>
      <c r="B36" s="40" t="s">
        <v>35</v>
      </c>
      <c r="C36" s="31" t="n">
        <f aca="false">D36/C15</f>
        <v>2415.2</v>
      </c>
      <c r="D36" s="31" t="n">
        <f aca="false">(D29)*(E14)/12*(C15)</f>
        <v>9660.8</v>
      </c>
      <c r="E36" s="26"/>
    </row>
    <row r="37" customFormat="false" ht="24.75" hidden="false" customHeight="true" outlineLevel="0" collapsed="false">
      <c r="A37" s="4"/>
      <c r="B37" s="40" t="s">
        <v>36</v>
      </c>
      <c r="C37" s="46" t="n">
        <f aca="false">J12/12</f>
        <v>250</v>
      </c>
      <c r="D37" s="31" t="n">
        <f aca="false">C37*C15</f>
        <v>1000</v>
      </c>
      <c r="E37" s="26"/>
    </row>
    <row r="38" customFormat="false" ht="24.75" hidden="false" customHeight="true" outlineLevel="0" collapsed="false">
      <c r="A38" s="4"/>
      <c r="B38" s="40" t="s">
        <v>37</v>
      </c>
      <c r="C38" s="46" t="n">
        <f aca="false">J13/12</f>
        <v>100</v>
      </c>
      <c r="D38" s="31" t="n">
        <f aca="false">C38*C15</f>
        <v>400</v>
      </c>
      <c r="E38" s="26"/>
    </row>
    <row r="39" customFormat="false" ht="24.75" hidden="false" customHeight="true" outlineLevel="0" collapsed="false">
      <c r="A39" s="4"/>
      <c r="B39" s="40" t="s">
        <v>38</v>
      </c>
      <c r="C39" s="41" t="n">
        <v>200</v>
      </c>
      <c r="D39" s="31" t="n">
        <f aca="false">C39*C15</f>
        <v>800</v>
      </c>
      <c r="E39" s="26"/>
    </row>
    <row r="40" customFormat="false" ht="24.75" hidden="false" customHeight="true" outlineLevel="0" collapsed="false">
      <c r="B40" s="33" t="s">
        <v>39</v>
      </c>
      <c r="C40" s="42"/>
      <c r="D40" s="43" t="n">
        <f aca="false">D19+D20+D27+D28+D35+D36+D37+D38+D39</f>
        <v>313880.8</v>
      </c>
      <c r="E40" s="26"/>
    </row>
    <row r="41" customFormat="false" ht="24.75" hidden="false" customHeight="true" outlineLevel="0" collapsed="false">
      <c r="B41" s="33" t="s">
        <v>40</v>
      </c>
      <c r="C41" s="42"/>
      <c r="D41" s="43" t="n">
        <f aca="false">D22+D35+SUM(D36:D39)</f>
        <v>72360.8</v>
      </c>
      <c r="E41" s="26"/>
    </row>
    <row r="42" customFormat="false" ht="30" hidden="false" customHeight="true" outlineLevel="0" collapsed="false">
      <c r="B42" s="36"/>
      <c r="C42" s="44"/>
      <c r="D42" s="45"/>
      <c r="E42" s="26"/>
    </row>
    <row r="43" customFormat="false" ht="15" hidden="false" customHeight="true" outlineLevel="0" collapsed="false">
      <c r="B43" s="25" t="s">
        <v>41</v>
      </c>
      <c r="C43" s="25"/>
      <c r="D43" s="25"/>
    </row>
    <row r="44" customFormat="false" ht="15" hidden="false" customHeight="true" outlineLevel="0" collapsed="false">
      <c r="B44" s="27" t="s">
        <v>42</v>
      </c>
      <c r="C44" s="27"/>
      <c r="D44" s="47" t="n">
        <f aca="false">IFERROR(-PV(G14/12,360,(D65/G16)/12),0)</f>
        <v>227040.483368371</v>
      </c>
    </row>
    <row r="45" customFormat="false" ht="24.75" hidden="false" customHeight="true" outlineLevel="0" collapsed="false">
      <c r="B45" s="39" t="s">
        <v>29</v>
      </c>
      <c r="C45" s="39"/>
      <c r="D45" s="31" t="n">
        <f aca="false">IF(G15="DSCR",(D44-D47)/(1+G13),C14*G12)</f>
        <v>299962.5</v>
      </c>
    </row>
    <row r="46" customFormat="false" ht="24.75" hidden="false" customHeight="true" outlineLevel="0" collapsed="false">
      <c r="B46" s="40" t="s">
        <v>30</v>
      </c>
      <c r="C46" s="34" t="n">
        <f aca="false">G13</f>
        <v>0.01</v>
      </c>
      <c r="D46" s="31" t="n">
        <f aca="false">C46*D45</f>
        <v>2999.625</v>
      </c>
    </row>
    <row r="47" customFormat="false" ht="24.75" hidden="false" customHeight="true" outlineLevel="0" collapsed="false">
      <c r="B47" s="40" t="s">
        <v>31</v>
      </c>
      <c r="C47" s="40"/>
      <c r="D47" s="41" t="n">
        <v>800</v>
      </c>
    </row>
    <row r="48" customFormat="false" ht="24.75" hidden="false" customHeight="true" outlineLevel="0" collapsed="false">
      <c r="B48" s="33" t="s">
        <v>32</v>
      </c>
      <c r="C48" s="42"/>
      <c r="D48" s="43" t="n">
        <f aca="false">SUM(D45:D47)</f>
        <v>303762.125</v>
      </c>
    </row>
    <row r="49" customFormat="false" ht="24.75" hidden="false" customHeight="true" outlineLevel="0" collapsed="false">
      <c r="B49" s="39" t="s">
        <v>43</v>
      </c>
      <c r="C49" s="39"/>
      <c r="D49" s="43" t="n">
        <f aca="false">-D29</f>
        <v>-241520</v>
      </c>
    </row>
    <row r="50" customFormat="false" ht="24.75" hidden="false" customHeight="true" outlineLevel="0" collapsed="false">
      <c r="B50" s="40" t="s">
        <v>44</v>
      </c>
      <c r="C50" s="34"/>
      <c r="D50" s="31" t="n">
        <f aca="false">D48+D49-D46-D47</f>
        <v>58442.5</v>
      </c>
    </row>
    <row r="51" customFormat="false" ht="24.75" hidden="false" customHeight="true" outlineLevel="0" collapsed="false">
      <c r="B51" s="40" t="s">
        <v>45</v>
      </c>
      <c r="C51" s="40"/>
      <c r="D51" s="41" t="n">
        <f aca="false">D41-D50</f>
        <v>13918.3</v>
      </c>
    </row>
    <row r="52" customFormat="false" ht="30" hidden="false" customHeight="true" outlineLevel="0" collapsed="false"/>
    <row r="53" customFormat="false" ht="15" hidden="false" customHeight="true" outlineLevel="0" collapsed="false">
      <c r="B53" s="48" t="s">
        <v>46</v>
      </c>
      <c r="C53" s="48"/>
      <c r="D53" s="48"/>
      <c r="E53" s="49"/>
      <c r="F53" s="49"/>
      <c r="G53" s="49"/>
      <c r="H53" s="49"/>
      <c r="I53" s="49"/>
      <c r="J53" s="49"/>
      <c r="K53" s="49"/>
      <c r="L53" s="49"/>
      <c r="M53" s="49"/>
      <c r="N53" s="49"/>
    </row>
    <row r="54" customFormat="false" ht="15" hidden="false" customHeight="true" outlineLevel="0" collapsed="false">
      <c r="B54" s="49"/>
      <c r="C54" s="50" t="s">
        <v>47</v>
      </c>
      <c r="D54" s="50" t="s">
        <v>48</v>
      </c>
      <c r="E54" s="49"/>
      <c r="F54" s="49"/>
      <c r="G54" s="49"/>
      <c r="H54" s="49"/>
      <c r="I54" s="49"/>
      <c r="J54" s="49"/>
      <c r="K54" s="49"/>
      <c r="L54" s="49"/>
      <c r="M54" s="49"/>
      <c r="N54" s="49"/>
    </row>
    <row r="55" s="4" customFormat="true" ht="15" hidden="false" customHeight="true" outlineLevel="0" collapsed="false">
      <c r="B55" s="1" t="s">
        <v>49</v>
      </c>
      <c r="C55" s="51" t="n">
        <v>2750</v>
      </c>
      <c r="D55" s="52" t="n">
        <f aca="false">C55*12</f>
        <v>33000</v>
      </c>
      <c r="E55" s="49"/>
      <c r="F55" s="49"/>
      <c r="G55" s="49"/>
      <c r="H55" s="49"/>
      <c r="I55" s="49"/>
      <c r="J55" s="49"/>
      <c r="K55" s="49"/>
      <c r="L55" s="49"/>
      <c r="M55" s="49"/>
      <c r="N55" s="49"/>
    </row>
    <row r="56" s="4" customFormat="true" ht="15" hidden="false" customHeight="true" outlineLevel="0" collapsed="false">
      <c r="B56" s="1" t="s">
        <v>50</v>
      </c>
      <c r="C56" s="52" t="n">
        <f aca="false">ROUND(D56/12,0)</f>
        <v>138</v>
      </c>
      <c r="D56" s="52" t="n">
        <f aca="false">ROUND(D55*J17,0)</f>
        <v>1650</v>
      </c>
      <c r="E56" s="49"/>
      <c r="F56" s="49"/>
      <c r="G56" s="49"/>
      <c r="H56" s="49"/>
      <c r="I56" s="49"/>
      <c r="J56" s="49"/>
      <c r="K56" s="49"/>
      <c r="L56" s="49"/>
      <c r="M56" s="49"/>
      <c r="N56" s="49"/>
    </row>
    <row r="57" s="4" customFormat="true" ht="15" hidden="false" customHeight="true" outlineLevel="0" collapsed="false">
      <c r="B57" s="53" t="s">
        <v>51</v>
      </c>
      <c r="C57" s="54" t="n">
        <f aca="false">C55-C56</f>
        <v>2612</v>
      </c>
      <c r="D57" s="54" t="n">
        <f aca="false">D55-D56</f>
        <v>31350</v>
      </c>
      <c r="E57" s="49"/>
      <c r="F57" s="49"/>
      <c r="G57" s="49"/>
      <c r="H57" s="49"/>
      <c r="I57" s="49"/>
      <c r="J57" s="49"/>
      <c r="K57" s="49"/>
      <c r="L57" s="49"/>
      <c r="M57" s="49"/>
      <c r="N57" s="49"/>
    </row>
    <row r="58" s="4" customFormat="true" ht="15" hidden="false" customHeight="true" outlineLevel="0" collapsed="false">
      <c r="B58" s="1" t="s">
        <v>52</v>
      </c>
      <c r="C58" s="1"/>
      <c r="D58" s="1"/>
      <c r="E58" s="49"/>
      <c r="F58" s="49"/>
      <c r="G58" s="49"/>
      <c r="H58" s="49"/>
      <c r="I58" s="49"/>
      <c r="J58" s="49"/>
      <c r="K58" s="49"/>
      <c r="L58" s="49"/>
      <c r="M58" s="49"/>
      <c r="N58" s="49"/>
    </row>
    <row r="59" s="4" customFormat="true" ht="15" hidden="false" customHeight="true" outlineLevel="0" collapsed="false">
      <c r="B59" s="1" t="s">
        <v>7</v>
      </c>
      <c r="C59" s="52" t="n">
        <f aca="false">ROUND(D59/12,0)</f>
        <v>250</v>
      </c>
      <c r="D59" s="52" t="n">
        <f aca="false">J12</f>
        <v>3000</v>
      </c>
      <c r="E59" s="49"/>
      <c r="F59" s="49"/>
      <c r="G59" s="49"/>
      <c r="H59" s="49"/>
      <c r="I59" s="49"/>
      <c r="J59" s="49"/>
      <c r="K59" s="49"/>
      <c r="L59" s="49"/>
      <c r="M59" s="49"/>
      <c r="N59" s="49"/>
    </row>
    <row r="60" s="4" customFormat="true" ht="15" hidden="false" customHeight="true" outlineLevel="0" collapsed="false">
      <c r="B60" s="1" t="s">
        <v>11</v>
      </c>
      <c r="C60" s="55" t="n">
        <f aca="false">ROUND(D60/12,0)</f>
        <v>100</v>
      </c>
      <c r="D60" s="52" t="n">
        <f aca="false">J13</f>
        <v>1200</v>
      </c>
      <c r="E60" s="49"/>
      <c r="F60" s="49"/>
      <c r="G60" s="49"/>
      <c r="H60" s="49"/>
      <c r="I60" s="49"/>
      <c r="J60" s="49"/>
      <c r="K60" s="49"/>
      <c r="L60" s="49"/>
      <c r="M60" s="49"/>
      <c r="N60" s="49"/>
    </row>
    <row r="61" s="4" customFormat="true" ht="15" hidden="false" customHeight="true" outlineLevel="0" collapsed="false">
      <c r="B61" s="1" t="s">
        <v>19</v>
      </c>
      <c r="C61" s="52" t="n">
        <f aca="false">ROUND(D61/12,0)</f>
        <v>0</v>
      </c>
      <c r="D61" s="52" t="n">
        <f aca="false">J15</f>
        <v>0</v>
      </c>
      <c r="E61" s="49"/>
      <c r="F61" s="49"/>
      <c r="G61" s="49"/>
      <c r="H61" s="49"/>
      <c r="I61" s="49"/>
      <c r="J61" s="49"/>
      <c r="K61" s="49"/>
      <c r="L61" s="49"/>
      <c r="M61" s="49"/>
      <c r="N61" s="49"/>
    </row>
    <row r="62" s="4" customFormat="true" ht="15" hidden="false" customHeight="true" outlineLevel="0" collapsed="false">
      <c r="B62" s="1" t="s">
        <v>53</v>
      </c>
      <c r="C62" s="52" t="n">
        <f aca="false">ROUND(C55*J16,0)</f>
        <v>220</v>
      </c>
      <c r="D62" s="52" t="n">
        <f aca="false">C62*12</f>
        <v>2640</v>
      </c>
      <c r="E62" s="49"/>
      <c r="F62" s="49"/>
      <c r="G62" s="49"/>
      <c r="H62" s="49"/>
      <c r="I62" s="49"/>
      <c r="J62" s="49"/>
      <c r="K62" s="49"/>
      <c r="L62" s="49"/>
      <c r="M62" s="49"/>
      <c r="N62" s="49"/>
    </row>
    <row r="63" s="4" customFormat="true" ht="15" hidden="false" customHeight="true" outlineLevel="0" collapsed="false">
      <c r="B63" s="1" t="s">
        <v>15</v>
      </c>
      <c r="C63" s="52" t="n">
        <f aca="false">ROUND(D63/12,0)</f>
        <v>138</v>
      </c>
      <c r="D63" s="52" t="n">
        <f aca="false">J14</f>
        <v>1650</v>
      </c>
      <c r="E63" s="49"/>
      <c r="F63" s="49"/>
      <c r="G63" s="49"/>
      <c r="H63" s="49"/>
      <c r="I63" s="49"/>
      <c r="J63" s="49"/>
      <c r="K63" s="49"/>
      <c r="L63" s="49"/>
      <c r="M63" s="49"/>
      <c r="N63" s="49"/>
    </row>
    <row r="64" s="4" customFormat="true" ht="15" hidden="false" customHeight="true" outlineLevel="0" collapsed="false">
      <c r="B64" s="53" t="s">
        <v>54</v>
      </c>
      <c r="C64" s="54" t="n">
        <f aca="false">SUM(C59:C63)</f>
        <v>708</v>
      </c>
      <c r="D64" s="54" t="n">
        <f aca="false">SUM(D59:D63)</f>
        <v>8490</v>
      </c>
      <c r="E64" s="49"/>
      <c r="F64" s="49"/>
      <c r="G64" s="49"/>
      <c r="H64" s="49"/>
      <c r="I64" s="49"/>
      <c r="J64" s="49"/>
      <c r="K64" s="49"/>
      <c r="L64" s="49"/>
      <c r="M64" s="49"/>
      <c r="N64" s="49"/>
    </row>
    <row r="65" s="4" customFormat="true" ht="15" hidden="false" customHeight="true" outlineLevel="0" collapsed="false">
      <c r="B65" s="53" t="s">
        <v>55</v>
      </c>
      <c r="C65" s="54" t="n">
        <f aca="false">C57-C64</f>
        <v>1904</v>
      </c>
      <c r="D65" s="54" t="n">
        <f aca="false">D57-D64</f>
        <v>22860</v>
      </c>
      <c r="E65" s="49"/>
      <c r="F65" s="49"/>
      <c r="G65" s="49"/>
      <c r="H65" s="49"/>
      <c r="I65" s="49"/>
      <c r="J65" s="49"/>
      <c r="K65" s="49"/>
      <c r="L65" s="49"/>
      <c r="M65" s="49"/>
      <c r="N65" s="49"/>
    </row>
    <row r="66" customFormat="false" ht="15" hidden="false" customHeight="true" outlineLevel="0" collapsed="false">
      <c r="B66" s="1" t="s">
        <v>56</v>
      </c>
      <c r="C66" s="52" t="n">
        <f aca="false">-ROUND(PMT(G14/12,360,D48),0)</f>
        <v>2124</v>
      </c>
      <c r="D66" s="52" t="n">
        <f aca="false">C66*12</f>
        <v>25488</v>
      </c>
      <c r="E66" s="49"/>
      <c r="F66" s="49"/>
      <c r="G66" s="49"/>
      <c r="H66" s="49"/>
      <c r="I66" s="49"/>
      <c r="J66" s="49"/>
      <c r="K66" s="49"/>
      <c r="L66" s="49"/>
      <c r="M66" s="49"/>
      <c r="N66" s="49"/>
    </row>
    <row r="67" s="4" customFormat="true" ht="15" hidden="false" customHeight="true" outlineLevel="0" collapsed="false">
      <c r="B67" s="53" t="s">
        <v>57</v>
      </c>
      <c r="C67" s="54" t="n">
        <f aca="false">C65-C66</f>
        <v>-220</v>
      </c>
      <c r="D67" s="54" t="n">
        <f aca="false">D65-D66</f>
        <v>-2628</v>
      </c>
      <c r="E67" s="49"/>
      <c r="F67" s="49"/>
      <c r="G67" s="49"/>
      <c r="H67" s="49"/>
      <c r="I67" s="49"/>
      <c r="J67" s="49"/>
      <c r="K67" s="49"/>
      <c r="L67" s="49"/>
      <c r="M67" s="49"/>
      <c r="N67" s="49"/>
    </row>
    <row r="68" s="4" customFormat="true" ht="21.75" hidden="false" customHeight="true" outlineLevel="0" collapsed="false">
      <c r="B68" s="56"/>
      <c r="C68" s="49"/>
      <c r="D68" s="57"/>
      <c r="E68" s="49"/>
      <c r="F68" s="49"/>
      <c r="G68" s="49"/>
      <c r="H68" s="49"/>
      <c r="I68" s="49"/>
      <c r="J68" s="49"/>
      <c r="K68" s="49"/>
      <c r="L68" s="49"/>
      <c r="M68" s="49"/>
      <c r="N68" s="49"/>
    </row>
    <row r="69" s="4" customFormat="true" ht="30" hidden="false" customHeight="true" outlineLevel="0" collapsed="false">
      <c r="B69" s="58" t="s">
        <v>58</v>
      </c>
      <c r="C69" s="58"/>
      <c r="D69" s="58"/>
      <c r="E69" s="58"/>
      <c r="F69" s="58"/>
      <c r="G69" s="58"/>
      <c r="H69" s="49"/>
      <c r="I69" s="49"/>
      <c r="J69" s="49"/>
      <c r="K69" s="49"/>
      <c r="L69" s="49"/>
      <c r="M69" s="49"/>
      <c r="N69" s="49"/>
    </row>
    <row r="70" customFormat="false" ht="25.5" hidden="false" customHeight="true" outlineLevel="0" collapsed="false">
      <c r="B70" s="59" t="s">
        <v>59</v>
      </c>
      <c r="C70" s="59"/>
      <c r="D70" s="60" t="n">
        <f aca="false">D51</f>
        <v>13918.3</v>
      </c>
      <c r="E70" s="60"/>
      <c r="F70" s="60"/>
      <c r="G70" s="60"/>
      <c r="H70" s="49"/>
      <c r="I70" s="49"/>
      <c r="J70" s="49"/>
      <c r="K70" s="49"/>
      <c r="L70" s="49"/>
      <c r="M70" s="49"/>
      <c r="N70" s="49"/>
    </row>
    <row r="71" customFormat="false" ht="25.5" hidden="false" customHeight="true" outlineLevel="0" collapsed="false">
      <c r="B71" s="59" t="s">
        <v>60</v>
      </c>
      <c r="C71" s="59"/>
      <c r="D71" s="60" t="n">
        <f aca="false">C67</f>
        <v>-220</v>
      </c>
      <c r="E71" s="60"/>
      <c r="F71" s="60"/>
      <c r="G71" s="60"/>
      <c r="H71" s="49"/>
      <c r="I71" s="49"/>
      <c r="J71" s="49"/>
      <c r="K71" s="49"/>
      <c r="L71" s="49"/>
      <c r="M71" s="49"/>
      <c r="N71" s="49"/>
    </row>
    <row r="72" customFormat="false" ht="25.5" hidden="false" customHeight="true" outlineLevel="0" collapsed="false">
      <c r="B72" s="59" t="s">
        <v>61</v>
      </c>
      <c r="C72" s="59"/>
      <c r="D72" s="61" t="n">
        <f aca="false">IFERROR(D67/D51,"n/a")</f>
        <v>-0.188816162893457</v>
      </c>
      <c r="E72" s="61"/>
      <c r="F72" s="61"/>
      <c r="G72" s="61"/>
      <c r="H72" s="49"/>
      <c r="I72" s="49"/>
      <c r="J72" s="49"/>
      <c r="K72" s="49"/>
      <c r="L72" s="49"/>
      <c r="M72" s="49"/>
      <c r="N72" s="49"/>
    </row>
    <row r="73" customFormat="false" ht="25.5" hidden="false" customHeight="true" outlineLevel="0" collapsed="false">
      <c r="B73" s="59" t="s">
        <v>62</v>
      </c>
      <c r="C73" s="59"/>
      <c r="D73" s="61" t="n">
        <f aca="false">IFERROR(D67/(C14-D48),"n/a")</f>
        <v>-0.0273215309102109</v>
      </c>
      <c r="E73" s="61"/>
      <c r="F73" s="61"/>
      <c r="G73" s="61"/>
      <c r="H73" s="49"/>
      <c r="I73" s="49"/>
      <c r="J73" s="49"/>
      <c r="K73" s="49"/>
      <c r="L73" s="49"/>
      <c r="M73" s="49"/>
      <c r="N73" s="49"/>
    </row>
    <row r="74" customFormat="false" ht="25.5" hidden="false" customHeight="true" outlineLevel="0" collapsed="false">
      <c r="B74" s="59" t="s">
        <v>63</v>
      </c>
      <c r="C74" s="59"/>
      <c r="D74" s="61" t="n">
        <f aca="false">IFERROR('5-Year Projection'!C21,"n/a")</f>
        <v>0.536613657506238</v>
      </c>
      <c r="E74" s="61"/>
      <c r="F74" s="61"/>
      <c r="G74" s="61"/>
      <c r="H74" s="49"/>
      <c r="I74" s="49"/>
      <c r="J74" s="49"/>
      <c r="K74" s="49"/>
      <c r="L74" s="49"/>
      <c r="M74" s="49"/>
      <c r="N74" s="49"/>
    </row>
    <row r="75" customFormat="false" ht="25.5" hidden="false" customHeight="true" outlineLevel="0" collapsed="false">
      <c r="B75" s="59" t="s">
        <v>64</v>
      </c>
      <c r="C75" s="59"/>
      <c r="D75" s="60" t="n">
        <f aca="false">C14-D48</f>
        <v>96187.875</v>
      </c>
      <c r="E75" s="60"/>
      <c r="F75" s="60"/>
      <c r="G75" s="60"/>
      <c r="H75" s="49"/>
      <c r="I75" s="49"/>
      <c r="J75" s="49"/>
      <c r="K75" s="49"/>
      <c r="L75" s="49"/>
      <c r="M75" s="49"/>
      <c r="N75" s="49"/>
    </row>
    <row r="76" customFormat="false" ht="25.5" hidden="false" customHeight="true" outlineLevel="0" collapsed="false">
      <c r="B76" s="59" t="s">
        <v>65</v>
      </c>
      <c r="C76" s="59"/>
      <c r="D76" s="62" t="n">
        <f aca="false">IFERROR(D65/D66,"n/a")</f>
        <v>0.896892655367232</v>
      </c>
      <c r="E76" s="62"/>
      <c r="F76" s="62"/>
      <c r="G76" s="62"/>
      <c r="H76" s="49"/>
      <c r="I76" s="49"/>
      <c r="J76" s="49"/>
      <c r="K76" s="49"/>
      <c r="L76" s="49"/>
      <c r="M76" s="49"/>
      <c r="N76" s="49"/>
    </row>
    <row r="77" customFormat="false" ht="25.5" hidden="false" customHeight="true" outlineLevel="0" collapsed="false">
      <c r="B77" s="63" t="s">
        <v>66</v>
      </c>
      <c r="C77" s="63"/>
      <c r="D77" s="64" t="n">
        <f aca="false">C14*0.75-C13</f>
        <v>219962.5</v>
      </c>
      <c r="E77" s="64"/>
      <c r="F77" s="64"/>
      <c r="G77" s="64"/>
      <c r="H77" s="49"/>
      <c r="I77" s="49"/>
      <c r="J77" s="49"/>
      <c r="K77" s="49"/>
      <c r="L77" s="49"/>
      <c r="M77" s="49"/>
      <c r="N77" s="49"/>
    </row>
    <row r="78" customFormat="false" ht="15" hidden="false" customHeight="true" outlineLevel="0" collapsed="false">
      <c r="B78" s="49"/>
      <c r="C78" s="49"/>
      <c r="D78" s="49"/>
      <c r="E78" s="49"/>
      <c r="F78" s="49"/>
      <c r="G78" s="49"/>
      <c r="H78" s="49"/>
      <c r="I78" s="49"/>
      <c r="J78" s="49"/>
      <c r="K78" s="49"/>
      <c r="L78" s="49"/>
      <c r="M78" s="49"/>
      <c r="N78" s="49"/>
    </row>
    <row r="79" customFormat="false" ht="15" hidden="false" customHeight="true" outlineLevel="0" collapsed="false">
      <c r="B79" s="49"/>
      <c r="C79" s="49"/>
      <c r="D79" s="49"/>
      <c r="E79" s="49"/>
      <c r="F79" s="49"/>
      <c r="G79" s="49"/>
      <c r="H79" s="49"/>
      <c r="I79" s="49"/>
      <c r="J79" s="49"/>
      <c r="K79" s="49"/>
      <c r="L79" s="49"/>
      <c r="M79" s="49"/>
      <c r="N79" s="49"/>
    </row>
    <row r="80" customFormat="false" ht="15" hidden="false" customHeight="true" outlineLevel="0" collapsed="false">
      <c r="B80" s="65" t="s">
        <v>67</v>
      </c>
      <c r="C80" s="65"/>
      <c r="D80" s="65"/>
      <c r="E80" s="65"/>
      <c r="F80" s="65"/>
      <c r="G80" s="49"/>
      <c r="H80" s="49"/>
      <c r="I80" s="49"/>
      <c r="J80" s="49"/>
      <c r="K80" s="49"/>
      <c r="L80" s="49"/>
      <c r="M80" s="49"/>
      <c r="N80" s="49"/>
    </row>
    <row r="81" customFormat="false" ht="15" hidden="false" customHeight="true" outlineLevel="0" collapsed="false">
      <c r="B81" s="65"/>
      <c r="C81" s="65"/>
      <c r="D81" s="65"/>
      <c r="E81" s="65"/>
      <c r="F81" s="65"/>
      <c r="G81" s="49"/>
      <c r="H81" s="49"/>
      <c r="I81" s="49"/>
      <c r="J81" s="49"/>
      <c r="K81" s="49"/>
      <c r="L81" s="49"/>
      <c r="M81" s="49"/>
      <c r="N81" s="49"/>
    </row>
    <row r="82" customFormat="false" ht="15" hidden="false" customHeight="true" outlineLevel="0" collapsed="false">
      <c r="B82" s="65"/>
      <c r="C82" s="65"/>
      <c r="D82" s="65"/>
      <c r="E82" s="65"/>
      <c r="F82" s="65"/>
      <c r="G82" s="49"/>
      <c r="H82" s="49"/>
      <c r="I82" s="49"/>
      <c r="J82" s="49"/>
      <c r="K82" s="49"/>
      <c r="L82" s="49"/>
      <c r="M82" s="49"/>
      <c r="N82" s="49"/>
    </row>
    <row r="83" customFormat="false" ht="15" hidden="false" customHeight="true" outlineLevel="0" collapsed="false">
      <c r="B83" s="65"/>
      <c r="C83" s="65"/>
      <c r="D83" s="65"/>
      <c r="E83" s="65"/>
      <c r="F83" s="65"/>
      <c r="G83" s="49"/>
      <c r="H83" s="49"/>
      <c r="I83" s="49"/>
      <c r="J83" s="49"/>
      <c r="K83" s="49"/>
      <c r="L83" s="49"/>
      <c r="M83" s="49"/>
      <c r="N83" s="49"/>
    </row>
    <row r="84" customFormat="false" ht="15" hidden="false" customHeight="true" outlineLevel="0" collapsed="false">
      <c r="B84" s="65"/>
      <c r="C84" s="65"/>
      <c r="D84" s="65"/>
      <c r="E84" s="65"/>
      <c r="F84" s="65"/>
      <c r="G84" s="49"/>
      <c r="H84" s="49"/>
      <c r="I84" s="49"/>
      <c r="J84" s="49"/>
      <c r="K84" s="49"/>
      <c r="L84" s="49"/>
      <c r="M84" s="49"/>
      <c r="N84" s="49"/>
    </row>
    <row r="85" customFormat="false" ht="15" hidden="false" customHeight="true" outlineLevel="0" collapsed="false">
      <c r="B85" s="65"/>
      <c r="C85" s="65"/>
      <c r="D85" s="65"/>
      <c r="E85" s="65"/>
      <c r="F85" s="65"/>
      <c r="G85" s="49"/>
      <c r="H85" s="49"/>
      <c r="I85" s="49"/>
      <c r="J85" s="49"/>
      <c r="K85" s="49"/>
      <c r="L85" s="49"/>
      <c r="M85" s="49"/>
      <c r="N85" s="49"/>
    </row>
    <row r="86" customFormat="false" ht="15" hidden="false" customHeight="true" outlineLevel="0" collapsed="false">
      <c r="B86" s="65"/>
      <c r="C86" s="65"/>
      <c r="D86" s="65"/>
      <c r="E86" s="65"/>
      <c r="F86" s="65"/>
      <c r="G86" s="49"/>
      <c r="H86" s="49"/>
      <c r="I86" s="49"/>
      <c r="J86" s="49"/>
      <c r="K86" s="49"/>
      <c r="L86" s="49"/>
      <c r="M86" s="49"/>
      <c r="N86" s="49"/>
    </row>
    <row r="87" customFormat="false" ht="15" hidden="false" customHeight="true" outlineLevel="0" collapsed="false">
      <c r="B87" s="65"/>
      <c r="C87" s="65"/>
      <c r="D87" s="65"/>
      <c r="E87" s="65"/>
      <c r="F87" s="65"/>
      <c r="G87" s="49"/>
      <c r="H87" s="49"/>
      <c r="I87" s="49"/>
      <c r="J87" s="49"/>
      <c r="K87" s="49"/>
      <c r="L87" s="49"/>
      <c r="M87" s="49"/>
      <c r="N87" s="49"/>
    </row>
    <row r="88" customFormat="false" ht="15" hidden="false" customHeight="true" outlineLevel="0" collapsed="false">
      <c r="B88" s="65"/>
      <c r="C88" s="65"/>
      <c r="D88" s="65"/>
      <c r="E88" s="65"/>
      <c r="F88" s="65"/>
      <c r="G88" s="49"/>
      <c r="H88" s="49"/>
      <c r="I88" s="49"/>
      <c r="J88" s="49"/>
      <c r="K88" s="49"/>
      <c r="L88" s="49"/>
      <c r="M88" s="49"/>
      <c r="N88" s="49"/>
    </row>
    <row r="89" customFormat="false" ht="15" hidden="false" customHeight="true" outlineLevel="0" collapsed="false">
      <c r="B89" s="65"/>
      <c r="C89" s="65"/>
      <c r="D89" s="65"/>
      <c r="E89" s="65"/>
      <c r="F89" s="65"/>
      <c r="G89" s="49"/>
      <c r="H89" s="49"/>
      <c r="I89" s="49"/>
      <c r="J89" s="49"/>
      <c r="K89" s="49"/>
      <c r="L89" s="49"/>
      <c r="M89" s="49"/>
      <c r="N89" s="49"/>
    </row>
    <row r="90" customFormat="false" ht="15" hidden="false" customHeight="true" outlineLevel="0" collapsed="false">
      <c r="B90" s="65"/>
      <c r="C90" s="65"/>
      <c r="D90" s="65"/>
      <c r="E90" s="65"/>
      <c r="F90" s="65"/>
      <c r="G90" s="49"/>
      <c r="H90" s="49"/>
      <c r="I90" s="49"/>
      <c r="J90" s="49"/>
      <c r="K90" s="49"/>
      <c r="L90" s="49"/>
      <c r="M90" s="49"/>
      <c r="N90" s="49"/>
    </row>
    <row r="91" customFormat="false" ht="15" hidden="false" customHeight="true" outlineLevel="0" collapsed="false">
      <c r="B91" s="65"/>
      <c r="C91" s="65"/>
      <c r="D91" s="65"/>
      <c r="E91" s="65"/>
      <c r="F91" s="65"/>
      <c r="G91" s="49"/>
      <c r="H91" s="49"/>
      <c r="I91" s="49"/>
      <c r="J91" s="49"/>
      <c r="K91" s="49"/>
      <c r="L91" s="49"/>
      <c r="M91" s="49"/>
      <c r="N91" s="49"/>
    </row>
    <row r="92" customFormat="false" ht="15" hidden="false" customHeight="true" outlineLevel="0" collapsed="false">
      <c r="B92" s="65"/>
      <c r="C92" s="65"/>
      <c r="D92" s="65"/>
      <c r="E92" s="65"/>
      <c r="F92" s="65"/>
      <c r="G92" s="49"/>
      <c r="H92" s="49"/>
      <c r="I92" s="49"/>
      <c r="J92" s="49"/>
      <c r="K92" s="49"/>
      <c r="L92" s="49"/>
      <c r="M92" s="49"/>
      <c r="N92" s="49"/>
    </row>
    <row r="93" customFormat="false" ht="15" hidden="false" customHeight="true" outlineLevel="0" collapsed="false">
      <c r="B93" s="65"/>
      <c r="C93" s="65"/>
      <c r="D93" s="65"/>
      <c r="E93" s="65"/>
      <c r="F93" s="65"/>
      <c r="G93" s="49"/>
      <c r="H93" s="49"/>
      <c r="I93" s="49"/>
      <c r="J93" s="49"/>
      <c r="K93" s="49"/>
      <c r="L93" s="49"/>
      <c r="M93" s="49"/>
      <c r="N93" s="49"/>
    </row>
    <row r="94" customFormat="false" ht="15" hidden="false" customHeight="true" outlineLevel="0" collapsed="false">
      <c r="B94" s="65"/>
      <c r="C94" s="65"/>
      <c r="D94" s="65"/>
      <c r="E94" s="65"/>
      <c r="F94" s="65"/>
      <c r="G94" s="49"/>
      <c r="H94" s="49"/>
      <c r="I94" s="49"/>
      <c r="J94" s="49"/>
      <c r="K94" s="49"/>
      <c r="L94" s="49"/>
      <c r="M94" s="49"/>
      <c r="N94" s="49"/>
    </row>
    <row r="95" customFormat="false" ht="15" hidden="false" customHeight="true" outlineLevel="0" collapsed="false">
      <c r="B95" s="65"/>
      <c r="C95" s="65"/>
      <c r="D95" s="65"/>
      <c r="E95" s="65"/>
      <c r="F95" s="65"/>
      <c r="G95" s="49"/>
      <c r="H95" s="49"/>
      <c r="I95" s="49"/>
      <c r="J95" s="49"/>
      <c r="K95" s="49"/>
      <c r="L95" s="49"/>
      <c r="M95" s="49"/>
      <c r="N95" s="49"/>
    </row>
    <row r="96" customFormat="false" ht="15" hidden="false" customHeight="true" outlineLevel="0" collapsed="false">
      <c r="B96" s="65"/>
      <c r="C96" s="65"/>
      <c r="D96" s="65"/>
      <c r="E96" s="65"/>
      <c r="F96" s="65"/>
      <c r="G96" s="49"/>
      <c r="H96" s="49"/>
      <c r="I96" s="49"/>
      <c r="J96" s="49"/>
      <c r="K96" s="49"/>
      <c r="L96" s="49"/>
      <c r="M96" s="49"/>
      <c r="N96" s="49"/>
    </row>
    <row r="97" customFormat="false" ht="15" hidden="false" customHeight="true" outlineLevel="0" collapsed="false">
      <c r="B97" s="65"/>
      <c r="C97" s="65"/>
      <c r="D97" s="65"/>
      <c r="E97" s="65"/>
      <c r="F97" s="65"/>
      <c r="G97" s="49"/>
      <c r="H97" s="49"/>
      <c r="I97" s="49"/>
      <c r="J97" s="49"/>
      <c r="K97" s="49"/>
      <c r="L97" s="49"/>
      <c r="M97" s="49"/>
      <c r="N97" s="49"/>
    </row>
    <row r="98" customFormat="false" ht="15" hidden="false" customHeight="true" outlineLevel="0" collapsed="false">
      <c r="B98" s="65"/>
      <c r="C98" s="65"/>
      <c r="D98" s="65"/>
      <c r="E98" s="65"/>
      <c r="F98" s="65"/>
      <c r="G98" s="49"/>
      <c r="H98" s="49"/>
      <c r="I98" s="49"/>
      <c r="J98" s="49"/>
      <c r="K98" s="49"/>
      <c r="L98" s="49"/>
      <c r="M98" s="49"/>
      <c r="N98" s="49"/>
    </row>
    <row r="99" customFormat="false" ht="15" hidden="false" customHeight="true" outlineLevel="0" collapsed="false">
      <c r="B99" s="65"/>
      <c r="C99" s="65"/>
      <c r="D99" s="65"/>
      <c r="E99" s="65"/>
      <c r="F99" s="65"/>
      <c r="G99" s="49"/>
      <c r="H99" s="49"/>
      <c r="I99" s="49"/>
      <c r="J99" s="49"/>
      <c r="K99" s="49"/>
      <c r="L99" s="49"/>
      <c r="M99" s="49"/>
      <c r="N99" s="49"/>
    </row>
    <row r="100" customFormat="false" ht="15" hidden="false" customHeight="true" outlineLevel="0" collapsed="false">
      <c r="B100" s="65"/>
      <c r="C100" s="65"/>
      <c r="D100" s="65"/>
      <c r="E100" s="65"/>
      <c r="F100" s="65"/>
      <c r="G100" s="49"/>
      <c r="H100" s="49"/>
      <c r="I100" s="49"/>
      <c r="J100" s="49"/>
      <c r="K100" s="49"/>
      <c r="L100" s="49"/>
      <c r="M100" s="49"/>
      <c r="N100" s="49"/>
    </row>
    <row r="101" customFormat="false" ht="15" hidden="false" customHeight="true" outlineLevel="0" collapsed="false">
      <c r="B101" s="65"/>
      <c r="C101" s="65"/>
      <c r="D101" s="65"/>
      <c r="E101" s="65"/>
      <c r="F101" s="65"/>
      <c r="G101" s="49"/>
      <c r="H101" s="49"/>
      <c r="I101" s="49"/>
      <c r="J101" s="49"/>
      <c r="K101" s="49"/>
      <c r="L101" s="49"/>
      <c r="M101" s="49"/>
      <c r="N101" s="49"/>
    </row>
    <row r="102" customFormat="false" ht="15" hidden="false" customHeight="true" outlineLevel="0" collapsed="false">
      <c r="B102" s="65"/>
      <c r="C102" s="65"/>
      <c r="D102" s="65"/>
      <c r="E102" s="65"/>
      <c r="F102" s="65"/>
      <c r="G102" s="49"/>
      <c r="H102" s="49"/>
      <c r="I102" s="49"/>
      <c r="J102" s="49"/>
      <c r="K102" s="49"/>
      <c r="L102" s="49"/>
      <c r="M102" s="49"/>
      <c r="N102" s="49"/>
    </row>
    <row r="103" customFormat="false" ht="15" hidden="false" customHeight="true" outlineLevel="0" collapsed="false">
      <c r="B103" s="65"/>
      <c r="C103" s="65"/>
      <c r="D103" s="65"/>
      <c r="E103" s="65"/>
      <c r="F103" s="65"/>
      <c r="G103" s="49"/>
      <c r="H103" s="49"/>
      <c r="I103" s="49"/>
      <c r="J103" s="49"/>
      <c r="K103" s="49"/>
      <c r="L103" s="49"/>
      <c r="M103" s="49"/>
      <c r="N103" s="49"/>
    </row>
    <row r="104" customFormat="false" ht="15" hidden="false" customHeight="true" outlineLevel="0" collapsed="false">
      <c r="B104" s="49"/>
      <c r="C104" s="49"/>
      <c r="D104" s="49"/>
      <c r="E104" s="49"/>
      <c r="F104" s="49"/>
      <c r="G104" s="49"/>
      <c r="H104" s="49"/>
      <c r="I104" s="49"/>
      <c r="J104" s="49"/>
      <c r="K104" s="49"/>
      <c r="L104" s="49"/>
      <c r="M104" s="49"/>
      <c r="N104" s="49"/>
    </row>
    <row r="105" customFormat="false" ht="15" hidden="false" customHeight="true" outlineLevel="0" collapsed="false">
      <c r="B105" s="49"/>
      <c r="C105" s="49"/>
      <c r="D105" s="49"/>
      <c r="E105" s="49"/>
      <c r="F105" s="49"/>
      <c r="G105" s="49"/>
      <c r="H105" s="49"/>
      <c r="I105" s="49"/>
      <c r="J105" s="49"/>
      <c r="K105" s="49"/>
      <c r="L105" s="49"/>
      <c r="M105" s="49"/>
      <c r="N105" s="49"/>
    </row>
    <row r="106" customFormat="false" ht="15" hidden="false" customHeight="true" outlineLevel="0" collapsed="false">
      <c r="B106" s="49"/>
      <c r="C106" s="49"/>
      <c r="D106" s="49"/>
      <c r="E106" s="49"/>
      <c r="F106" s="49"/>
      <c r="G106" s="49"/>
      <c r="H106" s="49"/>
      <c r="I106" s="49"/>
      <c r="J106" s="49"/>
      <c r="K106" s="49"/>
      <c r="L106" s="49"/>
      <c r="M106" s="49"/>
      <c r="N106" s="49"/>
    </row>
    <row r="107" customFormat="false" ht="15" hidden="false" customHeight="true" outlineLevel="0" collapsed="false">
      <c r="B107" s="49"/>
      <c r="C107" s="49"/>
      <c r="D107" s="49"/>
      <c r="E107" s="49"/>
      <c r="F107" s="49"/>
      <c r="G107" s="49"/>
      <c r="H107" s="49"/>
      <c r="I107" s="49"/>
      <c r="J107" s="49"/>
      <c r="K107" s="49"/>
      <c r="L107" s="49"/>
      <c r="M107" s="49"/>
      <c r="N107" s="49"/>
    </row>
    <row r="108" customFormat="false" ht="15" hidden="false" customHeight="true" outlineLevel="0" collapsed="false">
      <c r="B108" s="49"/>
      <c r="C108" s="49"/>
      <c r="D108" s="49"/>
      <c r="E108" s="49"/>
      <c r="F108" s="49"/>
      <c r="G108" s="49"/>
      <c r="H108" s="49"/>
      <c r="I108" s="49"/>
      <c r="J108" s="49"/>
      <c r="K108" s="49"/>
      <c r="L108" s="49"/>
      <c r="M108" s="49"/>
      <c r="N108" s="49"/>
    </row>
    <row r="109" customFormat="false" ht="15" hidden="false" customHeight="true" outlineLevel="0" collapsed="false">
      <c r="B109" s="49"/>
      <c r="C109" s="49"/>
      <c r="D109" s="49"/>
      <c r="E109" s="49"/>
      <c r="F109" s="49"/>
      <c r="G109" s="49"/>
      <c r="H109" s="49"/>
      <c r="I109" s="49"/>
      <c r="J109" s="49"/>
      <c r="K109" s="49"/>
      <c r="L109" s="49"/>
      <c r="M109" s="49"/>
      <c r="N109" s="49"/>
    </row>
  </sheetData>
  <sheetProtection sheet="true" objects="true" scenarios="true"/>
  <mergeCells count="25">
    <mergeCell ref="D2:E2"/>
    <mergeCell ref="D10:E10"/>
    <mergeCell ref="B17:D17"/>
    <mergeCell ref="B24:D24"/>
    <mergeCell ref="B31:D31"/>
    <mergeCell ref="B43:D43"/>
    <mergeCell ref="B53:D53"/>
    <mergeCell ref="B69:G69"/>
    <mergeCell ref="B70:C70"/>
    <mergeCell ref="D70:G70"/>
    <mergeCell ref="B71:C71"/>
    <mergeCell ref="D71:G71"/>
    <mergeCell ref="B72:C72"/>
    <mergeCell ref="D72:G72"/>
    <mergeCell ref="B73:C73"/>
    <mergeCell ref="D73:G73"/>
    <mergeCell ref="B74:C74"/>
    <mergeCell ref="D74:G74"/>
    <mergeCell ref="B75:C75"/>
    <mergeCell ref="D75:G75"/>
    <mergeCell ref="B76:C76"/>
    <mergeCell ref="D76:G76"/>
    <mergeCell ref="B77:C77"/>
    <mergeCell ref="D77:G77"/>
    <mergeCell ref="B80:F103"/>
  </mergeCells>
  <dataValidations count="1">
    <dataValidation allowBlank="false" errorStyle="stop" operator="between" showDropDown="false" showErrorMessage="false" showInputMessage="false" sqref="G15" type="list">
      <formula1>"LTV,DSCR"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9" width="2"/>
    <col collapsed="false" customWidth="true" hidden="false" outlineLevel="0" max="2" min="2" style="49" width="30"/>
    <col collapsed="false" customWidth="true" hidden="false" outlineLevel="0" max="8" min="3" style="49" width="13"/>
  </cols>
  <sheetData>
    <row r="2" customFormat="false" ht="17.25" hidden="false" customHeight="true" outlineLevel="0" collapsed="false">
      <c r="B2" s="66" t="s">
        <v>68</v>
      </c>
    </row>
    <row r="3" customFormat="false" ht="15" hidden="false" customHeight="true" outlineLevel="0" collapsed="false">
      <c r="B3" s="67" t="s">
        <v>69</v>
      </c>
      <c r="C3" s="68" t="n">
        <v>0.03</v>
      </c>
    </row>
    <row r="4" customFormat="false" ht="15" hidden="false" customHeight="true" outlineLevel="0" collapsed="false">
      <c r="B4" s="67" t="s">
        <v>70</v>
      </c>
      <c r="C4" s="68" t="n">
        <v>0.02</v>
      </c>
    </row>
    <row r="5" customFormat="false" ht="15" hidden="false" customHeight="true" outlineLevel="0" collapsed="false">
      <c r="B5" s="67" t="s">
        <v>71</v>
      </c>
      <c r="C5" s="68" t="n">
        <v>0.02</v>
      </c>
    </row>
    <row r="6" customFormat="false" ht="15" hidden="false" customHeight="true" outlineLevel="0" collapsed="false">
      <c r="B6" s="67" t="s">
        <v>72</v>
      </c>
      <c r="C6" s="68" t="n">
        <v>0.06</v>
      </c>
    </row>
    <row r="8" customFormat="false" ht="15" hidden="false" customHeight="true" outlineLevel="0" collapsed="false">
      <c r="B8" s="69" t="s">
        <v>73</v>
      </c>
      <c r="C8" s="70" t="s">
        <v>74</v>
      </c>
      <c r="D8" s="70" t="s">
        <v>75</v>
      </c>
      <c r="E8" s="70" t="s">
        <v>76</v>
      </c>
      <c r="F8" s="70" t="s">
        <v>77</v>
      </c>
      <c r="G8" s="70" t="s">
        <v>78</v>
      </c>
      <c r="H8" s="70" t="s">
        <v>79</v>
      </c>
    </row>
    <row r="9" customFormat="false" ht="15" hidden="false" customHeight="true" outlineLevel="0" collapsed="false">
      <c r="B9" s="71" t="s">
        <v>80</v>
      </c>
      <c r="C9" s="72" t="n">
        <f aca="false">Sheet1!$C$14*(1+$C$3)^0</f>
        <v>399950</v>
      </c>
      <c r="D9" s="72" t="n">
        <f aca="false">Sheet1!$C$14*(1+$C$3)^1</f>
        <v>411948.5</v>
      </c>
      <c r="E9" s="72" t="n">
        <f aca="false">Sheet1!$C$14*(1+$C$3)^2</f>
        <v>424306.955</v>
      </c>
      <c r="F9" s="72" t="n">
        <f aca="false">Sheet1!$C$14*(1+$C$3)^3</f>
        <v>437036.16365</v>
      </c>
      <c r="G9" s="72" t="n">
        <f aca="false">Sheet1!$C$14*(1+$C$3)^4</f>
        <v>450147.2485595</v>
      </c>
      <c r="H9" s="72" t="n">
        <f aca="false">Sheet1!$C$14*(1+$C$3)^5</f>
        <v>463651.666016285</v>
      </c>
    </row>
    <row r="10" customFormat="false" ht="15" hidden="false" customHeight="true" outlineLevel="0" collapsed="false">
      <c r="B10" s="71" t="s">
        <v>81</v>
      </c>
      <c r="C10" s="72" t="s">
        <v>82</v>
      </c>
      <c r="D10" s="72" t="n">
        <f aca="false">Sheet1!$D$55*(1+$C$4)^0</f>
        <v>33000</v>
      </c>
      <c r="E10" s="72" t="n">
        <f aca="false">Sheet1!$D$55*(1+$C$4)^1</f>
        <v>33660</v>
      </c>
      <c r="F10" s="72" t="n">
        <f aca="false">Sheet1!$D$55*(1+$C$4)^2</f>
        <v>34333.2</v>
      </c>
      <c r="G10" s="72" t="n">
        <f aca="false">Sheet1!$D$55*(1+$C$4)^3</f>
        <v>35019.864</v>
      </c>
      <c r="H10" s="72" t="n">
        <f aca="false">Sheet1!$D$55*(1+$C$4)^4</f>
        <v>35720.26128</v>
      </c>
    </row>
    <row r="11" customFormat="false" ht="15" hidden="false" customHeight="true" outlineLevel="0" collapsed="false">
      <c r="B11" s="71" t="s">
        <v>51</v>
      </c>
      <c r="C11" s="72" t="s">
        <v>82</v>
      </c>
      <c r="D11" s="72" t="n">
        <f aca="false">D10*(1-Sheet1!$J$17)</f>
        <v>31350</v>
      </c>
      <c r="E11" s="72" t="n">
        <f aca="false">E10*(1-Sheet1!$J$17)</f>
        <v>31977</v>
      </c>
      <c r="F11" s="72" t="n">
        <f aca="false">F10*(1-Sheet1!$J$17)</f>
        <v>32616.54</v>
      </c>
      <c r="G11" s="72" t="n">
        <f aca="false">G10*(1-Sheet1!$J$17)</f>
        <v>33268.8708</v>
      </c>
      <c r="H11" s="72" t="n">
        <f aca="false">H10*(1-Sheet1!$J$17)</f>
        <v>33934.248216</v>
      </c>
    </row>
    <row r="12" customFormat="false" ht="15" hidden="false" customHeight="true" outlineLevel="0" collapsed="false">
      <c r="B12" s="71" t="s">
        <v>83</v>
      </c>
      <c r="C12" s="72" t="s">
        <v>82</v>
      </c>
      <c r="D12" s="72" t="n">
        <f aca="false">Sheet1!$D$64*(1+$C$5)^0</f>
        <v>8490</v>
      </c>
      <c r="E12" s="72" t="n">
        <f aca="false">Sheet1!$D$64*(1+$C$5)^1</f>
        <v>8659.8</v>
      </c>
      <c r="F12" s="72" t="n">
        <f aca="false">Sheet1!$D$64*(1+$C$5)^2</f>
        <v>8832.996</v>
      </c>
      <c r="G12" s="72" t="n">
        <f aca="false">Sheet1!$D$64*(1+$C$5)^3</f>
        <v>9009.65592</v>
      </c>
      <c r="H12" s="72" t="n">
        <f aca="false">Sheet1!$D$64*(1+$C$5)^4</f>
        <v>9189.8490384</v>
      </c>
    </row>
    <row r="13" customFormat="false" ht="15" hidden="false" customHeight="true" outlineLevel="0" collapsed="false">
      <c r="B13" s="73" t="s">
        <v>84</v>
      </c>
      <c r="C13" s="74" t="s">
        <v>82</v>
      </c>
      <c r="D13" s="74" t="n">
        <f aca="false">D11-D12</f>
        <v>22860</v>
      </c>
      <c r="E13" s="74" t="n">
        <f aca="false">E11-E12</f>
        <v>23317.2</v>
      </c>
      <c r="F13" s="74" t="n">
        <f aca="false">F11-F12</f>
        <v>23783.544</v>
      </c>
      <c r="G13" s="74" t="n">
        <f aca="false">G11-G12</f>
        <v>24259.21488</v>
      </c>
      <c r="H13" s="74" t="n">
        <f aca="false">H11-H12</f>
        <v>24744.3991776</v>
      </c>
    </row>
    <row r="14" customFormat="false" ht="15" hidden="false" customHeight="true" outlineLevel="0" collapsed="false">
      <c r="B14" s="71" t="s">
        <v>56</v>
      </c>
      <c r="C14" s="72" t="s">
        <v>82</v>
      </c>
      <c r="D14" s="72" t="n">
        <f aca="false">Sheet1!$D$66</f>
        <v>25488</v>
      </c>
      <c r="E14" s="72" t="n">
        <f aca="false">Sheet1!$D$66</f>
        <v>25488</v>
      </c>
      <c r="F14" s="72" t="n">
        <f aca="false">Sheet1!$D$66</f>
        <v>25488</v>
      </c>
      <c r="G14" s="72" t="n">
        <f aca="false">Sheet1!$D$66</f>
        <v>25488</v>
      </c>
      <c r="H14" s="72" t="n">
        <f aca="false">Sheet1!$D$66</f>
        <v>25488</v>
      </c>
    </row>
    <row r="15" customFormat="false" ht="15" hidden="false" customHeight="true" outlineLevel="0" collapsed="false">
      <c r="B15" s="73" t="s">
        <v>57</v>
      </c>
      <c r="C15" s="74" t="s">
        <v>82</v>
      </c>
      <c r="D15" s="74" t="n">
        <f aca="false">D13-D14</f>
        <v>-2628</v>
      </c>
      <c r="E15" s="74" t="n">
        <f aca="false">E13-E14</f>
        <v>-2170.8</v>
      </c>
      <c r="F15" s="74" t="n">
        <f aca="false">F13-F14</f>
        <v>-1704.456</v>
      </c>
      <c r="G15" s="74" t="n">
        <f aca="false">G13-G14</f>
        <v>-1228.78512</v>
      </c>
      <c r="H15" s="74" t="n">
        <f aca="false">H13-H14</f>
        <v>-743.6008224</v>
      </c>
    </row>
    <row r="16" customFormat="false" ht="15" hidden="false" customHeight="true" outlineLevel="0" collapsed="false">
      <c r="B16" s="71" t="s">
        <v>85</v>
      </c>
      <c r="C16" s="72" t="n">
        <f aca="false">Sheet1!$D$48</f>
        <v>303762.125</v>
      </c>
      <c r="D16" s="72" t="n">
        <f aca="false">PV(Sheet1!$G$14/12,360-12*1,PMT(Sheet1!$G$14/12,360,Sheet1!$D$48))</f>
        <v>300961.941154094</v>
      </c>
      <c r="E16" s="72" t="n">
        <f aca="false">PV(Sheet1!$G$14/12,360-12*2,PMT(Sheet1!$G$14/12,360,Sheet1!$D$48))</f>
        <v>297944.371758955</v>
      </c>
      <c r="F16" s="72" t="n">
        <f aca="false">PV(Sheet1!$G$14/12,360-12*3,PMT(Sheet1!$G$14/12,360,Sheet1!$D$48))</f>
        <v>294692.540609442</v>
      </c>
      <c r="G16" s="72" t="n">
        <f aca="false">PV(Sheet1!$G$14/12,360-12*4,PMT(Sheet1!$G$14/12,360,Sheet1!$D$48))</f>
        <v>291188.261356752</v>
      </c>
      <c r="H16" s="72" t="n">
        <f aca="false">PV(Sheet1!$G$14/12,360-12*5,PMT(Sheet1!$G$14/12,360,Sheet1!$D$48))</f>
        <v>287411.935798558</v>
      </c>
    </row>
    <row r="17" customFormat="false" ht="15" hidden="false" customHeight="true" outlineLevel="0" collapsed="false">
      <c r="B17" s="73" t="s">
        <v>86</v>
      </c>
      <c r="C17" s="74" t="n">
        <f aca="false">C9-C16</f>
        <v>96187.875</v>
      </c>
      <c r="D17" s="74" t="n">
        <f aca="false">D9-D16</f>
        <v>110986.558845906</v>
      </c>
      <c r="E17" s="74" t="n">
        <f aca="false">E9-E16</f>
        <v>126362.583241045</v>
      </c>
      <c r="F17" s="74" t="n">
        <f aca="false">F9-F16</f>
        <v>142343.623040558</v>
      </c>
      <c r="G17" s="74" t="n">
        <f aca="false">G9-G16</f>
        <v>158958.987202748</v>
      </c>
      <c r="H17" s="74" t="n">
        <f aca="false">H9-H16</f>
        <v>176239.730217727</v>
      </c>
    </row>
    <row r="18" customFormat="false" ht="15" hidden="false" customHeight="true" outlineLevel="0" collapsed="false">
      <c r="B18" s="71" t="s">
        <v>87</v>
      </c>
      <c r="C18" s="72" t="s">
        <v>82</v>
      </c>
      <c r="D18" s="72" t="s">
        <v>82</v>
      </c>
      <c r="E18" s="72" t="s">
        <v>82</v>
      </c>
      <c r="F18" s="72" t="s">
        <v>82</v>
      </c>
      <c r="G18" s="72" t="s">
        <v>82</v>
      </c>
      <c r="H18" s="72" t="n">
        <f aca="false">H9*(1-$C$6)-H16</f>
        <v>148420.63025675</v>
      </c>
    </row>
    <row r="19" customFormat="false" ht="15" hidden="false" customHeight="true" outlineLevel="0" collapsed="false">
      <c r="B19" s="73" t="s">
        <v>88</v>
      </c>
      <c r="C19" s="75" t="n">
        <f aca="false">-Sheet1!$D$51</f>
        <v>-13918.3</v>
      </c>
      <c r="D19" s="75" t="n">
        <f aca="false">D15</f>
        <v>-2628</v>
      </c>
      <c r="E19" s="75" t="n">
        <f aca="false">E15</f>
        <v>-2170.8</v>
      </c>
      <c r="F19" s="75" t="n">
        <f aca="false">F15</f>
        <v>-1704.456</v>
      </c>
      <c r="G19" s="75" t="n">
        <f aca="false">G15</f>
        <v>-1228.78512</v>
      </c>
      <c r="H19" s="75" t="n">
        <f aca="false">H15+H18</f>
        <v>147677.02943435</v>
      </c>
    </row>
    <row r="21" customFormat="false" ht="17.25" hidden="false" customHeight="true" outlineLevel="0" collapsed="false">
      <c r="B21" s="66" t="s">
        <v>89</v>
      </c>
      <c r="C21" s="76" t="n">
        <f aca="false">IFERROR(IRR(C19:H19),"n/a")</f>
        <v>0.536613657506238</v>
      </c>
      <c r="D21" s="76"/>
    </row>
    <row r="23" customFormat="false" ht="15" hidden="false" customHeight="true" outlineLevel="0" collapsed="false">
      <c r="B23" s="77" t="s">
        <v>90</v>
      </c>
      <c r="C23" s="77"/>
      <c r="D23" s="77"/>
      <c r="E23" s="77"/>
      <c r="F23" s="77"/>
      <c r="G23" s="77"/>
      <c r="H23" s="77"/>
    </row>
    <row r="24" customFormat="false" ht="15" hidden="false" customHeight="true" outlineLevel="0" collapsed="false">
      <c r="B24" s="77"/>
      <c r="C24" s="77"/>
      <c r="D24" s="77"/>
      <c r="E24" s="77"/>
      <c r="F24" s="77"/>
      <c r="G24" s="77"/>
      <c r="H24" s="77"/>
    </row>
    <row r="25" customFormat="false" ht="15" hidden="false" customHeight="true" outlineLevel="0" collapsed="false">
      <c r="B25" s="77"/>
      <c r="C25" s="77"/>
      <c r="D25" s="77"/>
      <c r="E25" s="77"/>
      <c r="F25" s="77"/>
      <c r="G25" s="77"/>
      <c r="H25" s="77"/>
    </row>
    <row r="26" customFormat="false" ht="15" hidden="false" customHeight="true" outlineLevel="0" collapsed="false">
      <c r="B26" s="77"/>
      <c r="C26" s="77"/>
      <c r="D26" s="77"/>
      <c r="E26" s="77"/>
      <c r="F26" s="77"/>
      <c r="G26" s="77"/>
      <c r="H26" s="77"/>
    </row>
  </sheetData>
  <mergeCells count="2">
    <mergeCell ref="C21:D21"/>
    <mergeCell ref="B23: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2023-04-25T21:48:05Z</dcterms:created>
  <dc:creator>Jarred Bohn</dc:creator>
  <dc:description/>
  <dc:language>en-US</dc:language>
  <cp:lastModifiedBy>James Dainard</cp:lastModifiedBy>
  <dcterms:modified xsi:type="dcterms:W3CDTF">2026-07-01T19:57:42Z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
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heet2" sheetId="2" state="visible" r:id="rId4"/>
    <sheet name="Sheet3" sheetId="3" state="visible" r:id="rId5"/>
  </sheets>
  <definedNames>
    <definedName function="false" hidden="false" localSheetId="0" name="_xlnm.Print_Area" vbProcedure="false">Sheet1!$B$2:$N$51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D29" authorId="0">
      <text>
        <r>
          <rPr>
            <sz val="10"/>
            <rFont val="Arial"/>
            <family val="2"/>
          </rPr>
          <t xml:space="preserve">When '2nd Loan?' = Yes, this auto-fills to the property's down payment for 100% financing. Enter the 2nd loan's Points, Interest Rate, and Fees below. The 2nd loan's interest is included in your monthly carry cost; points &amp; fees are financed into its note.</t>
        </r>
      </text>
    </comment>
    <comment ref="D68" authorId="0">
      <text>
        <r>
          <rPr>
            <sz val="10"/>
            <rFont val="Arial"/>
            <family val="2"/>
          </rPr>
          <t xml:space="preserve">Cash Out of Pocket = monthly carrying cost (loan interest + taxes + insurance + utilities, incl. 2nd-loan interest when active) x holding period. Excludes down payment, points, and fees.</t>
        </r>
      </text>
    </comment>
    <comment ref="E11" authorId="0">
      <text>
        <r>
          <rPr>
            <sz val="10"/>
            <rFont val="Arial"/>
            <family val="2"/>
          </rPr>
          <t xml:space="preserve">When Yes: the term's loan interest is financed into the loan balance (repaid at sale) instead of paid monthly, so it's removed from your out-of-pocket carry. The down payment (net of any 2nd loan) becomes the cash factored into Cash Out of Pocket. Net profit is unchanged, since interest is still a deal cost.</t>
        </r>
      </text>
    </comment>
  </commentList>
</comments>
</file>

<file path=xl/sharedStrings.xml><?xml version="1.0" encoding="utf-8"?>
<sst xmlns="http://schemas.openxmlformats.org/spreadsheetml/2006/main" count="78" uniqueCount="69">
  <si>
    <t xml:space="preserve">FLIP CALCULATOR</t>
  </si>
  <si>
    <t xml:space="preserve">This document represents calculations that can assist the investor in calculating the net profit that can be generated by the renovation/sale of the property, the numbers used in these calculations are estimates only and can change due to factors including but not limited to: changing market values, delays spent on renovations, and/ or addition/deletion of work items conducted to the property. This tool is to provide an estimate and should be used accordingly. Please consult with your general contractor/project manager for accurate projections.</t>
  </si>
  <si>
    <t xml:space="preserve">PROPERTY ADDRESS:</t>
  </si>
  <si>
    <t xml:space="preserve">Total Acquisition Price</t>
  </si>
  <si>
    <t xml:space="preserve">Loan Down Payment</t>
  </si>
  <si>
    <t xml:space="preserve">Est. Rehab Budget</t>
  </si>
  <si>
    <t xml:space="preserve">Loan Origination Points</t>
  </si>
  <si>
    <t xml:space="preserve">Est. After Repair Value</t>
  </si>
  <si>
    <t xml:space="preserve">Interest Rate</t>
  </si>
  <si>
    <t xml:space="preserve">Holding Period (Months)</t>
  </si>
  <si>
    <t xml:space="preserve">Interest Reserve?</t>
  </si>
  <si>
    <t xml:space="preserve">No</t>
  </si>
  <si>
    <t xml:space="preserve">Annual Taxes</t>
  </si>
  <si>
    <t xml:space="preserve">Annual Insurance</t>
  </si>
  <si>
    <t xml:space="preserve">R/E Sales Costs</t>
  </si>
  <si>
    <t xml:space="preserve">State Excise Tax</t>
  </si>
  <si>
    <t xml:space="preserve">LOAN DOWN PAYMENT</t>
  </si>
  <si>
    <t xml:space="preserve">Purchase Price</t>
  </si>
  <si>
    <t xml:space="preserve">Est. Rehab Costs</t>
  </si>
  <si>
    <t xml:space="preserve">Total Costs for Financing</t>
  </si>
  <si>
    <t xml:space="preserve">Down Payment</t>
  </si>
  <si>
    <t xml:space="preserve">PROMISSORY NOTE AMOUNT</t>
  </si>
  <si>
    <t xml:space="preserve">Loan Basis</t>
  </si>
  <si>
    <t xml:space="preserve">Loan Points</t>
  </si>
  <si>
    <t xml:space="preserve">Loan Fees</t>
  </si>
  <si>
    <t xml:space="preserve">Promissory Note Amount</t>
  </si>
  <si>
    <t xml:space="preserve">SECOND LOAN</t>
  </si>
  <si>
    <t xml:space="preserve">Include 2nd Loan?</t>
  </si>
  <si>
    <t xml:space="preserve">2nd Loan Amount (Down Payment)</t>
  </si>
  <si>
    <t xml:space="preserve">2nd Loan Points</t>
  </si>
  <si>
    <t xml:space="preserve">2nd Loan Interest Rate</t>
  </si>
  <si>
    <t xml:space="preserve">2nd Loan Fees</t>
  </si>
  <si>
    <t xml:space="preserve">2nd Loan Promissory Note</t>
  </si>
  <si>
    <t xml:space="preserve">2nd Loan Interest</t>
  </si>
  <si>
    <t xml:space="preserve">DIRECT COSTS</t>
  </si>
  <si>
    <t xml:space="preserve">Acquistion Closing Costs</t>
  </si>
  <si>
    <t xml:space="preserve">Interest Payments (Monthly)</t>
  </si>
  <si>
    <t xml:space="preserve">Real Estate Taxes (Monthly)</t>
  </si>
  <si>
    <t xml:space="preserve">Insurance (Monthly)</t>
  </si>
  <si>
    <t xml:space="preserve">Utilities (Monthly)</t>
  </si>
  <si>
    <t xml:space="preserve">Total Direct Costs</t>
  </si>
  <si>
    <t xml:space="preserve">SELLING COSTS</t>
  </si>
  <si>
    <t xml:space="preserve">R/E Commissions </t>
  </si>
  <si>
    <t xml:space="preserve">Excise Tax</t>
  </si>
  <si>
    <t xml:space="preserve">Other Closing Costs</t>
  </si>
  <si>
    <t xml:space="preserve">Staging</t>
  </si>
  <si>
    <t xml:space="preserve">Total Selling Costs</t>
  </si>
  <si>
    <t xml:space="preserve">ESTIMATED NET PROFIT</t>
  </si>
  <si>
    <t xml:space="preserve">Est. Selling Price</t>
  </si>
  <si>
    <t xml:space="preserve">Less: Total Direct Costs</t>
  </si>
  <si>
    <t xml:space="preserve">Less: Total Selling Costs</t>
  </si>
  <si>
    <t xml:space="preserve">EST. NET PROFIT</t>
  </si>
  <si>
    <t xml:space="preserve">Down Payment (cash in deal)</t>
  </si>
  <si>
    <t xml:space="preserve">Monthly Carrying Cost (per mo.)</t>
  </si>
  <si>
    <t xml:space="preserve">Carrying Costs (over hold period)</t>
  </si>
  <si>
    <t xml:space="preserve">Cash Out of Pocket</t>
  </si>
  <si>
    <t xml:space="preserve">DEAL SUMMARY</t>
  </si>
  <si>
    <t xml:space="preserve">Total Cash Out of Pocket</t>
  </si>
  <si>
    <t xml:space="preserve">Total Profit</t>
  </si>
  <si>
    <t xml:space="preserve">Cash-on-Cash Return</t>
  </si>
  <si>
    <t xml:space="preserve">Annualized Cash-on-Cash Return</t>
  </si>
  <si>
    <t xml:space="preserve">HOW TO USE THIS CALCULATOR</t>
  </si>
  <si>
    <t xml:space="preserve">Enter your deal figures in the YELLOW cells only — every other cell calculates automatically. Your key results appear in the DEAL SUMMARY box above.</t>
  </si>
  <si>
    <t xml:space="preserve">INTEREST RESERVE (top of the sheet, next to Interest Rate):  Choose “Yes” if your lender finances the loan interest for the holding period into the loan balance.  You then make NO monthly interest payments — the interest is repaid at sale — so it leaves your monthly out-of-pocket carry and the down payment becomes your main cash in the deal.  Net profit stays the same, because interest is still a deal cost.  Choose “No” to pay interest monthly out of pocket.</t>
  </si>
  <si>
    <t xml:space="preserve">SECOND LOAN (in the Second Loan section):  Choose “Yes” to add a second mortgage that covers your down payment for 100% financing.  The 2nd Loan Amount auto-fills to the down payment; you enter its Points, Interest Rate, and Fees.  Its points, fees, and interest are added to the deal (reducing profit), and because it funds the down payment your out-of-pocket cash drops to carrying costs only.  Choose “No” for a standard first-loan-only deal.</t>
  </si>
  <si>
    <t xml:space="preserve">DISCLAIMER AND WAIVER OF CLAIMS.  The foregoing Proforma and this calculator are based on estimates only and do not constitute a commitment, representation, warranty, or agreement binding on James Dainard or PROJECT RE, LLC, its members, managers, brokers, agents, affiliated entities, or employees (collectively hereafter “PROJECT RE” or “PJRE”), and James Dainard and PROJECT RE hereby disclaim any such warranty, representation, commitment or agreement.</t>
  </si>
  <si>
    <t xml:space="preserve">NO GUARANTEE OF ACCURACY.  James Dainard and PJRE do not and cannot guarantee, warrant, or represent the accuracy, completeness, or reliability of this calculator or the Proforma it generates.  All projections, estimated profit, costs, formulas, and other figures are estimates only and may contain errors or omissions.  It is the investor’s sole responsibility to independently verify all projections, estimated profit, costs, and formulas, and to perform his/her/its own due diligence, before relying on any output of this calculator.</t>
  </si>
  <si>
    <t xml:space="preserve">James Dainard and PJRE further disclaim any warranty or representation of any kind or nature regarding the condition or attributes of the property which is the subject of the Proforma (the “Property”), including without limitation the Property’s structural integrity, potential for improvement, or existing or potential hazardous materials contamination.  Client acknowledges that the purchase and renovation of the Property is a speculative investment which involves a substantial degree of risk of loss of his/her/its entire investment; Client understands and takes full cognizance of, and responsibility for, the risk factors related to the purchase of the Property, and acknowledges his/her/its responsibility to conduct investigation and due diligence, independent of the Proforma or other information provided by James Dainard or PJRE.  Client waives and releases James Dainard and PJRE from any claim or liability arising from any loss sustained by Client on account of his/her/its reliance on the Proforma or other information provided by James Dainard or PJRE regarding the acquisition and development of the Property.</t>
  </si>
  <si>
    <t xml:space="preserve">PROPRIETARY &amp; CONFIDENTIAL.  This calculator, including its formulas, structure, layout, and contents, is the proprietary and confidential information of James Dainard and PJRE.  By accessing or using this calculator, the user acknowledges its proprietary nature and agrees not to copy, reproduce, distribute, disclose, or share it, in whole or in part, with any other person or entity without the prior written consent of James Dainard and PROJECT RE, LLC.</t>
  </si>
</sst>
</file>

<file path=xl/styles.xml><?xml version="1.0" encoding="utf-8"?>
<styleSheet xmlns="http://schemas.openxmlformats.org/spreadsheetml/2006/main">
  <numFmts count="8">
    <numFmt numFmtId="164" formatCode="General"/>
    <numFmt numFmtId="165" formatCode="\$#,##0;&quot;($&quot;#,##0\)"/>
    <numFmt numFmtId="166" formatCode="0%"/>
    <numFmt numFmtId="167" formatCode="0.00%"/>
    <numFmt numFmtId="168" formatCode="0.000%"/>
    <numFmt numFmtId="169" formatCode="\$#,##0.00_);[RED]&quot;($&quot;#,##0.00\)"/>
    <numFmt numFmtId="170" formatCode="_(\$* #,##0.00_);_(\$* \(#,##0.00\);_(\$* \-??_);_(@_)"/>
    <numFmt numFmtId="171" formatCode="0.0%"/>
  </numFmts>
  <fonts count="28">
    <font>
      <sz val="10"/>
      <name val="Arial"/>
      <family val="0"/>
      <charset val="1"/>
    </font>
    <font>
      <sz val="10"/>
      <name val="Arial"/>
      <family val="0"/>
    </font>
    <font>
      <sz val="10"/>
      <name val="Arial"/>
      <family val="0"/>
    </font>
    <font>
      <sz val="10"/>
      <name val="Arial"/>
      <family val="0"/>
    </font>
    <font>
      <sz val="10"/>
      <color theme="1"/>
      <name val="Calibri Light"/>
      <family val="2"/>
      <charset val="1"/>
    </font>
    <font>
      <b val="true"/>
      <i val="true"/>
      <u val="single"/>
      <sz val="20"/>
      <color theme="1"/>
      <name val="Calibri Light"/>
      <family val="2"/>
      <charset val="1"/>
    </font>
    <font>
      <sz val="22"/>
      <color theme="1"/>
      <name val="Calibri Light"/>
      <family val="2"/>
      <charset val="1"/>
    </font>
    <font>
      <sz val="8"/>
      <color theme="1"/>
      <name val="Calibri Light"/>
      <family val="2"/>
      <charset val="1"/>
    </font>
    <font>
      <b val="true"/>
      <sz val="16"/>
      <color theme="1"/>
      <name val="Calibri Light"/>
      <family val="2"/>
      <charset val="1"/>
    </font>
    <font>
      <b val="true"/>
      <i val="true"/>
      <sz val="10"/>
      <color theme="1"/>
      <name val="Calibri Light"/>
      <family val="2"/>
      <charset val="1"/>
    </font>
    <font>
      <b val="true"/>
      <sz val="10"/>
      <color theme="1"/>
      <name val="Calibri Light"/>
      <family val="2"/>
      <charset val="1"/>
    </font>
    <font>
      <u val="single"/>
      <sz val="10"/>
      <color theme="1"/>
      <name val="Calibri Light"/>
      <family val="2"/>
      <charset val="1"/>
    </font>
    <font>
      <sz val="7"/>
      <color theme="1"/>
      <name val="Calibri Light"/>
      <family val="2"/>
      <charset val="1"/>
    </font>
    <font>
      <b val="true"/>
      <sz val="12"/>
      <color theme="1"/>
      <name val="Calibri Light"/>
      <family val="2"/>
      <charset val="1"/>
    </font>
    <font>
      <sz val="9"/>
      <color theme="1"/>
      <name val="Calibri Light"/>
      <family val="2"/>
      <charset val="1"/>
    </font>
    <font>
      <b val="true"/>
      <sz val="9"/>
      <color theme="1"/>
      <name val="Calibri Light"/>
      <family val="2"/>
      <charset val="1"/>
    </font>
    <font>
      <b val="true"/>
      <u val="single"/>
      <sz val="12"/>
      <color theme="1"/>
      <name val="Calibri Light"/>
      <family val="2"/>
      <charset val="1"/>
    </font>
    <font>
      <sz val="11"/>
      <name val="Calibri Light"/>
      <family val="0"/>
      <charset val="1"/>
    </font>
    <font>
      <u val="single"/>
      <sz val="7"/>
      <color theme="1"/>
      <name val="Calibri Light"/>
      <family val="2"/>
      <charset val="1"/>
    </font>
    <font>
      <b val="true"/>
      <sz val="8"/>
      <color theme="1"/>
      <name val="Calibri Light"/>
      <family val="2"/>
      <charset val="1"/>
    </font>
    <font>
      <b val="true"/>
      <sz val="12"/>
      <name val="Calibri Light"/>
      <family val="0"/>
      <charset val="1"/>
    </font>
    <font>
      <b val="true"/>
      <sz val="13"/>
      <name val="Calibri Light"/>
      <family val="0"/>
      <charset val="1"/>
    </font>
    <font>
      <b val="true"/>
      <sz val="16"/>
      <color rgb="FFFFFFFF"/>
      <name val="Calibri Light"/>
      <family val="0"/>
      <charset val="1"/>
    </font>
    <font>
      <b val="true"/>
      <sz val="13"/>
      <color rgb="FF000000"/>
      <name val="Calibri Light"/>
      <family val="0"/>
      <charset val="1"/>
    </font>
    <font>
      <b val="true"/>
      <sz val="13"/>
      <color rgb="FF1A7A3A"/>
      <name val="Calibri Light"/>
      <family val="0"/>
      <charset val="1"/>
    </font>
    <font>
      <sz val="9"/>
      <name val="Calibri Light"/>
      <family val="0"/>
      <charset val="1"/>
    </font>
    <font>
      <b val="true"/>
      <sz val="8"/>
      <name val="Calibri Light"/>
      <family val="0"/>
      <charset val="1"/>
    </font>
    <font>
      <sz val="10"/>
      <name val="Arial"/>
      <family val="2"/>
    </font>
  </fonts>
  <fills count="6">
    <fill>
      <patternFill patternType="none"/>
    </fill>
    <fill>
      <patternFill patternType="gray125"/>
    </fill>
    <fill>
      <patternFill patternType="solid">
        <fgColor theme="0"/>
        <bgColor rgb="FFF2F2F2"/>
      </patternFill>
    </fill>
    <fill>
      <patternFill patternType="solid">
        <fgColor rgb="FFFFFF00"/>
        <bgColor rgb="FFFFFF00"/>
      </patternFill>
    </fill>
    <fill>
      <patternFill patternType="solid">
        <fgColor rgb="FF1A1A1A"/>
        <bgColor rgb="FF333300"/>
      </patternFill>
    </fill>
    <fill>
      <patternFill patternType="solid">
        <fgColor rgb="FFF2F2F2"/>
        <bgColor rgb="FFFFFFFF"/>
      </patternFill>
    </fill>
  </fills>
  <borders count="35">
    <border diagonalUp="false" diagonalDown="false">
      <left/>
      <right/>
      <top/>
      <bottom/>
      <diagonal/>
    </border>
    <border diagonalUp="false" diagonalDown="false">
      <left style="medium"/>
      <right style="thin"/>
      <top style="medium"/>
      <bottom style="thin"/>
      <diagonal/>
    </border>
    <border diagonalUp="false" diagonalDown="false">
      <left style="thin"/>
      <right/>
      <top style="medium"/>
      <bottom style="thin"/>
      <diagonal/>
    </border>
    <border diagonalUp="false" diagonalDown="false">
      <left style="thin"/>
      <right style="thin"/>
      <top style="medium"/>
      <bottom style="thin"/>
      <diagonal/>
    </border>
    <border diagonalUp="false" diagonalDown="false">
      <left/>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diagonal/>
    </border>
    <border diagonalUp="false" diagonalDown="false">
      <left style="thin"/>
      <right style="thin"/>
      <top style="thin"/>
      <bottom/>
      <diagonal/>
    </border>
    <border diagonalUp="false" diagonalDown="false">
      <left style="medium"/>
      <right style="thin"/>
      <top/>
      <bottom style="thin"/>
      <diagonal/>
    </border>
    <border diagonalUp="false" diagonalDown="false">
      <left style="thin"/>
      <right style="medium"/>
      <top/>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medium"/>
      <right/>
      <top style="thin"/>
      <bottom style="medium"/>
      <diagonal/>
    </border>
    <border diagonalUp="false" diagonalDown="false">
      <left/>
      <right style="medium"/>
      <top style="thin"/>
      <bottom style="medium"/>
      <diagonal/>
    </border>
    <border diagonalUp="false" diagonalDown="false">
      <left style="medium"/>
      <right style="medium"/>
      <top style="medium"/>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5" fillId="2"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general" vertical="center" textRotation="0" wrapText="false" indent="0" shrinkToFit="false"/>
      <protection locked="true" hidden="false"/>
    </xf>
    <xf numFmtId="165" fontId="10" fillId="3" borderId="2" xfId="0" applyFont="true" applyBorder="true" applyAlignment="true" applyProtection="true">
      <alignment horizontal="left" vertical="center" textRotation="0" wrapText="false" indent="0" shrinkToFit="false"/>
      <protection locked="false" hidden="false"/>
    </xf>
    <xf numFmtId="164" fontId="10" fillId="2" borderId="3" xfId="0" applyFont="true" applyBorder="true" applyAlignment="true" applyProtection="false">
      <alignment horizontal="left" vertical="center" textRotation="0" wrapText="false" indent="1" shrinkToFit="false"/>
      <protection locked="true" hidden="false"/>
    </xf>
    <xf numFmtId="166" fontId="10" fillId="3" borderId="4" xfId="0" applyFont="true" applyBorder="true" applyAlignment="true" applyProtection="true">
      <alignment horizontal="center" vertical="center" textRotation="0" wrapText="false" indent="0" shrinkToFit="false"/>
      <protection locked="false" hidden="false"/>
    </xf>
    <xf numFmtId="164" fontId="10" fillId="2" borderId="5" xfId="0" applyFont="true" applyBorder="true" applyAlignment="true" applyProtection="false">
      <alignment horizontal="general" vertical="center" textRotation="0" wrapText="false" indent="0" shrinkToFit="false"/>
      <protection locked="true" hidden="false"/>
    </xf>
    <xf numFmtId="165" fontId="10" fillId="3" borderId="6" xfId="0" applyFont="true" applyBorder="true" applyAlignment="true" applyProtection="true">
      <alignment horizontal="center" vertical="center" textRotation="0" wrapText="false" indent="0" shrinkToFit="false"/>
      <protection locked="false" hidden="false"/>
    </xf>
    <xf numFmtId="164" fontId="10" fillId="2" borderId="7" xfId="0" applyFont="true" applyBorder="true" applyAlignment="true" applyProtection="false">
      <alignment horizontal="left" vertical="center" textRotation="0" wrapText="false" indent="1" shrinkToFit="false"/>
      <protection locked="true" hidden="false"/>
    </xf>
    <xf numFmtId="166" fontId="10" fillId="3" borderId="8" xfId="0" applyFont="true" applyBorder="true" applyAlignment="true" applyProtection="true">
      <alignment horizontal="center" vertical="center" textRotation="0" wrapText="false" indent="0" shrinkToFit="false"/>
      <protection locked="false" hidden="false"/>
    </xf>
    <xf numFmtId="165" fontId="10" fillId="3" borderId="6" xfId="0" applyFont="true" applyBorder="true" applyAlignment="true" applyProtection="true">
      <alignment horizontal="left" vertical="center" textRotation="0" wrapText="false" indent="0" shrinkToFit="false"/>
      <protection locked="false" hidden="false"/>
    </xf>
    <xf numFmtId="164" fontId="10" fillId="2" borderId="6" xfId="0" applyFont="true" applyBorder="true" applyAlignment="true" applyProtection="false">
      <alignment horizontal="left" vertical="center" textRotation="0" wrapText="false" indent="1" shrinkToFit="false"/>
      <protection locked="true" hidden="false"/>
    </xf>
    <xf numFmtId="164" fontId="10" fillId="2" borderId="9" xfId="0" applyFont="true" applyBorder="true" applyAlignment="true" applyProtection="false">
      <alignment horizontal="general" vertical="center" textRotation="0" wrapText="false" indent="0" shrinkToFit="false"/>
      <protection locked="true" hidden="false"/>
    </xf>
    <xf numFmtId="164" fontId="10" fillId="3" borderId="10" xfId="0" applyFont="true" applyBorder="true" applyAlignment="true" applyProtection="true">
      <alignment horizontal="center" vertical="center" textRotation="0" wrapText="false" indent="0" shrinkToFit="false"/>
      <protection locked="false" hidden="false"/>
    </xf>
    <xf numFmtId="164" fontId="10" fillId="3" borderId="8" xfId="0" applyFont="true" applyBorder="true" applyAlignment="true" applyProtection="false">
      <alignment horizontal="center" vertical="center" textRotation="0" wrapText="false" indent="0" shrinkToFit="false"/>
      <protection locked="true" hidden="false"/>
    </xf>
    <xf numFmtId="167" fontId="10" fillId="3" borderId="4" xfId="0" applyFont="true" applyBorder="true" applyAlignment="true" applyProtection="true">
      <alignment horizontal="center" vertical="center" textRotation="0" wrapText="false" indent="0" shrinkToFit="false"/>
      <protection locked="fals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8" fontId="8" fillId="2" borderId="6" xfId="0" applyFont="true" applyBorder="true" applyAlignment="true" applyProtection="true">
      <alignment horizontal="left" vertical="center" textRotation="0" wrapText="false" indent="0" shrinkToFit="false"/>
      <protection locked="true" hidden="true"/>
    </xf>
    <xf numFmtId="164" fontId="4" fillId="2" borderId="0" xfId="0" applyFont="true" applyBorder="false" applyAlignment="true" applyProtection="true">
      <alignment horizontal="general" vertical="bottom" textRotation="0" wrapText="false" indent="0" shrinkToFit="false"/>
      <protection locked="true" hidden="true"/>
    </xf>
    <xf numFmtId="166" fontId="4" fillId="2" borderId="11" xfId="0" applyFont="true" applyBorder="true" applyAlignment="true" applyProtection="true">
      <alignment horizontal="left" vertical="center" textRotation="0" wrapText="false" indent="0" shrinkToFit="false"/>
      <protection locked="true" hidden="true"/>
    </xf>
    <xf numFmtId="166" fontId="4" fillId="2" borderId="12" xfId="0" applyFont="true" applyBorder="true" applyAlignment="true" applyProtection="true">
      <alignment horizontal="left" vertical="center" textRotation="0" wrapText="false" indent="0" shrinkToFit="false"/>
      <protection locked="true" hidden="true"/>
    </xf>
    <xf numFmtId="165" fontId="4" fillId="2" borderId="13" xfId="0" applyFont="true" applyBorder="true" applyAlignment="true" applyProtection="false">
      <alignment horizontal="general" vertical="center" textRotation="0" wrapText="false" indent="0" shrinkToFit="false"/>
      <protection locked="true" hidden="false"/>
    </xf>
    <xf numFmtId="167" fontId="12" fillId="2" borderId="0" xfId="0" applyFont="true" applyBorder="false" applyAlignment="true" applyProtection="true">
      <alignment horizontal="center" vertical="bottom" textRotation="0" wrapText="false" indent="0" shrinkToFit="false"/>
      <protection locked="true" hidden="true"/>
    </xf>
    <xf numFmtId="165" fontId="4" fillId="2" borderId="13" xfId="0" applyFont="true" applyBorder="true" applyAlignment="true" applyProtection="true">
      <alignment horizontal="general" vertical="center" textRotation="0" wrapText="false" indent="0" shrinkToFit="false"/>
      <protection locked="true" hidden="true"/>
    </xf>
    <xf numFmtId="169" fontId="4" fillId="2" borderId="11" xfId="0" applyFont="true" applyBorder="true" applyAlignment="true" applyProtection="true">
      <alignment horizontal="left" vertical="center" textRotation="0" wrapText="false" indent="0" shrinkToFit="false"/>
      <protection locked="true" hidden="true"/>
    </xf>
    <xf numFmtId="169" fontId="4" fillId="2" borderId="12" xfId="0" applyFont="true" applyBorder="true" applyAlignment="true" applyProtection="true">
      <alignment horizontal="left" vertical="center" textRotation="0" wrapText="false" indent="0" shrinkToFit="false"/>
      <protection locked="true" hidden="true"/>
    </xf>
    <xf numFmtId="164" fontId="13" fillId="2" borderId="11" xfId="0" applyFont="true" applyBorder="true" applyAlignment="true" applyProtection="true">
      <alignment horizontal="general" vertical="center" textRotation="0" wrapText="false" indent="0" shrinkToFit="false"/>
      <protection locked="true" hidden="true"/>
    </xf>
    <xf numFmtId="166" fontId="13" fillId="2" borderId="12" xfId="0" applyFont="true" applyBorder="true" applyAlignment="true" applyProtection="true">
      <alignment horizontal="center" vertical="center" textRotation="0" wrapText="false" indent="0" shrinkToFit="false"/>
      <protection locked="true" hidden="true"/>
    </xf>
    <xf numFmtId="165" fontId="13" fillId="2" borderId="13" xfId="0" applyFont="true" applyBorder="true" applyAlignment="true" applyProtection="true">
      <alignment horizontal="right" vertical="center" textRotation="0" wrapText="false" indent="0" shrinkToFit="false"/>
      <protection locked="true" hidden="true"/>
    </xf>
    <xf numFmtId="164" fontId="13" fillId="2" borderId="0" xfId="0" applyFont="true" applyBorder="false" applyAlignment="true" applyProtection="true">
      <alignment horizontal="general" vertical="center" textRotation="0" wrapText="false" indent="0" shrinkToFit="false"/>
      <protection locked="true" hidden="true"/>
    </xf>
    <xf numFmtId="166" fontId="13" fillId="2" borderId="0" xfId="0" applyFont="true" applyBorder="false" applyAlignment="true" applyProtection="true">
      <alignment horizontal="center" vertical="center" textRotation="0" wrapText="false" indent="0" shrinkToFit="false"/>
      <protection locked="true" hidden="true"/>
    </xf>
    <xf numFmtId="170" fontId="13" fillId="2" borderId="0" xfId="0" applyFont="true" applyBorder="false" applyAlignment="true" applyProtection="true">
      <alignment horizontal="right" vertical="center" textRotation="0" wrapText="false" indent="0" shrinkToFit="false"/>
      <protection locked="true" hidden="true"/>
    </xf>
    <xf numFmtId="168" fontId="4" fillId="2" borderId="14" xfId="0" applyFont="true" applyBorder="true" applyAlignment="true" applyProtection="true">
      <alignment horizontal="left" vertical="center" textRotation="0" wrapText="false" indent="0" shrinkToFit="false"/>
      <protection locked="true" hidden="true"/>
    </xf>
    <xf numFmtId="168" fontId="4" fillId="2" borderId="15" xfId="0" applyFont="true" applyBorder="true" applyAlignment="true" applyProtection="true">
      <alignment horizontal="left" vertical="center" textRotation="0" wrapText="false" indent="0" shrinkToFit="false"/>
      <protection locked="true" hidden="true"/>
    </xf>
    <xf numFmtId="165" fontId="4" fillId="2" borderId="16" xfId="0" applyFont="true" applyBorder="true" applyAlignment="true" applyProtection="true">
      <alignment horizontal="general" vertical="center" textRotation="0" wrapText="false" indent="0" shrinkToFit="false"/>
      <protection locked="true" hidden="true"/>
    </xf>
    <xf numFmtId="164" fontId="14" fillId="2" borderId="11" xfId="0" applyFont="true" applyBorder="true" applyAlignment="true" applyProtection="true">
      <alignment horizontal="general" vertical="center" textRotation="0" wrapText="false" indent="0" shrinkToFit="false"/>
      <protection locked="true" hidden="true"/>
    </xf>
    <xf numFmtId="166" fontId="10" fillId="2" borderId="12" xfId="0" applyFont="true" applyBorder="true" applyAlignment="true" applyProtection="true">
      <alignment horizontal="center" vertical="center" textRotation="0" wrapText="false" indent="0" shrinkToFit="false"/>
      <protection locked="true" hidden="true"/>
    </xf>
    <xf numFmtId="164" fontId="14" fillId="2" borderId="12" xfId="0" applyFont="true" applyBorder="true" applyAlignment="true" applyProtection="true">
      <alignment horizontal="general" vertical="center" textRotation="0" wrapText="false" indent="0" shrinkToFit="false"/>
      <protection locked="true" hidden="true"/>
    </xf>
    <xf numFmtId="165" fontId="4" fillId="3" borderId="13" xfId="0" applyFont="true" applyBorder="true" applyAlignment="true" applyProtection="true">
      <alignment horizontal="general" vertical="center" textRotation="0" wrapText="false" indent="0" shrinkToFit="false"/>
      <protection locked="false" hidden="true"/>
    </xf>
    <xf numFmtId="164" fontId="15" fillId="2" borderId="12" xfId="0" applyFont="true" applyBorder="true" applyAlignment="true" applyProtection="true">
      <alignment horizontal="general" vertical="bottom" textRotation="0" wrapText="false" indent="0" shrinkToFit="false"/>
      <protection locked="true" hidden="true"/>
    </xf>
    <xf numFmtId="165" fontId="13" fillId="2" borderId="13" xfId="0" applyFont="true" applyBorder="true" applyAlignment="true" applyProtection="true">
      <alignment horizontal="general" vertical="center" textRotation="0" wrapText="false" indent="0" shrinkToFit="false"/>
      <protection locked="true" hidden="true"/>
    </xf>
    <xf numFmtId="164" fontId="15" fillId="2" borderId="0" xfId="0" applyFont="true" applyBorder="false" applyAlignment="true" applyProtection="true">
      <alignment horizontal="general" vertical="bottom" textRotation="0" wrapText="false" indent="0" shrinkToFit="false"/>
      <protection locked="true" hidden="true"/>
    </xf>
    <xf numFmtId="170" fontId="13" fillId="2" borderId="0" xfId="0" applyFont="true" applyBorder="false" applyAlignment="true" applyProtection="true">
      <alignment horizontal="general" vertical="center" textRotation="0" wrapText="false" indent="0" shrinkToFit="false"/>
      <protection locked="true" hidden="true"/>
    </xf>
    <xf numFmtId="168" fontId="8" fillId="2" borderId="17" xfId="0" applyFont="true" applyBorder="true" applyAlignment="true" applyProtection="false">
      <alignment horizontal="left" vertical="center" textRotation="0" wrapText="false" indent="0" shrinkToFit="false"/>
      <protection locked="true" hidden="false"/>
    </xf>
    <xf numFmtId="164" fontId="14" fillId="2" borderId="11" xfId="0" applyFont="true" applyBorder="true" applyAlignment="true" applyProtection="false">
      <alignment horizontal="general" vertical="center" textRotation="0" wrapText="false" indent="0" shrinkToFit="false"/>
      <protection locked="true" hidden="false"/>
    </xf>
    <xf numFmtId="164" fontId="10" fillId="3" borderId="4" xfId="0" applyFont="true" applyBorder="true" applyAlignment="true" applyProtection="false">
      <alignment horizontal="center" vertical="center" textRotation="0" wrapText="false" indent="0" shrinkToFit="false"/>
      <protection locked="true" hidden="false"/>
    </xf>
    <xf numFmtId="166" fontId="10" fillId="3" borderId="4" xfId="0" applyFont="true" applyBorder="true" applyAlignment="true" applyProtection="false">
      <alignment horizontal="center" vertical="center" textRotation="0" wrapText="false" indent="0" shrinkToFit="false"/>
      <protection locked="true" hidden="false"/>
    </xf>
    <xf numFmtId="165" fontId="10" fillId="3" borderId="2" xfId="0" applyFont="true" applyBorder="true" applyAlignment="true" applyProtection="false">
      <alignment horizontal="left" vertical="center" textRotation="0" wrapText="false" indent="0" shrinkToFit="false"/>
      <protection locked="true" hidden="false"/>
    </xf>
    <xf numFmtId="165" fontId="14" fillId="2" borderId="12" xfId="0" applyFont="true" applyBorder="true" applyAlignment="true" applyProtection="false">
      <alignment horizontal="general" vertical="center" textRotation="0" wrapText="false" indent="0" shrinkToFit="false"/>
      <protection locked="true" hidden="false"/>
    </xf>
    <xf numFmtId="168" fontId="8" fillId="2" borderId="18" xfId="0" applyFont="true" applyBorder="true" applyAlignment="true" applyProtection="true">
      <alignment horizontal="left" vertical="center" textRotation="0" wrapText="false" indent="0" shrinkToFit="false"/>
      <protection locked="true" hidden="true"/>
    </xf>
    <xf numFmtId="164" fontId="4" fillId="2" borderId="0" xfId="0" applyFont="true" applyBorder="false" applyAlignment="true" applyProtection="false">
      <alignment horizontal="general" vertical="center" textRotation="0" wrapText="false" indent="0" shrinkToFit="false"/>
      <protection locked="true" hidden="false"/>
    </xf>
    <xf numFmtId="165" fontId="14" fillId="2" borderId="12" xfId="0" applyFont="true" applyBorder="true" applyAlignment="true" applyProtection="true">
      <alignment horizontal="general" vertical="center" textRotation="0" wrapText="false" indent="0" shrinkToFit="false"/>
      <protection locked="true" hidden="true"/>
    </xf>
    <xf numFmtId="165" fontId="14" fillId="3" borderId="12" xfId="0" applyFont="true" applyBorder="true" applyAlignment="true" applyProtection="true">
      <alignment horizontal="general" vertical="center" textRotation="0" wrapText="false" indent="0" shrinkToFit="false"/>
      <protection locked="false" hidden="true"/>
    </xf>
    <xf numFmtId="166" fontId="14" fillId="2" borderId="12" xfId="0" applyFont="true" applyBorder="true" applyAlignment="true" applyProtection="false">
      <alignment horizontal="general" vertical="center" textRotation="0" wrapText="false" indent="0" shrinkToFit="false"/>
      <protection locked="true" hidden="false"/>
    </xf>
    <xf numFmtId="166" fontId="10" fillId="2" borderId="12" xfId="0" applyFont="true" applyBorder="true" applyAlignment="true" applyProtection="false">
      <alignment horizontal="center" vertical="center" textRotation="0" wrapText="false" indent="0" shrinkToFit="false"/>
      <protection locked="true" hidden="false"/>
    </xf>
    <xf numFmtId="164" fontId="13" fillId="2" borderId="14" xfId="0" applyFont="true" applyBorder="true" applyAlignment="true" applyProtection="true">
      <alignment horizontal="general" vertical="center" textRotation="0" wrapText="false" indent="0" shrinkToFit="false"/>
      <protection locked="true" hidden="true"/>
    </xf>
    <xf numFmtId="165" fontId="4" fillId="2" borderId="0" xfId="0" applyFont="true" applyBorder="false" applyAlignment="true" applyProtection="false">
      <alignment horizontal="general" vertical="bottom" textRotation="0" wrapText="false" indent="0" shrinkToFit="false"/>
      <protection locked="true" hidden="false"/>
    </xf>
    <xf numFmtId="164" fontId="14" fillId="2" borderId="19" xfId="0" applyFont="true" applyBorder="true" applyAlignment="true" applyProtection="true">
      <alignment horizontal="general" vertical="center" textRotation="0" wrapText="false" indent="0" shrinkToFit="false"/>
      <protection locked="true" hidden="true"/>
    </xf>
    <xf numFmtId="166" fontId="14" fillId="3" borderId="15" xfId="0" applyFont="true" applyBorder="true" applyAlignment="true" applyProtection="true">
      <alignment horizontal="general" vertical="center" textRotation="0" wrapText="false" indent="0" shrinkToFit="false"/>
      <protection locked="false" hidden="true"/>
    </xf>
    <xf numFmtId="165" fontId="4" fillId="2" borderId="20" xfId="0" applyFont="true" applyBorder="true" applyAlignment="true" applyProtection="true">
      <alignment horizontal="general" vertical="center" textRotation="0" wrapText="false" indent="0" shrinkToFit="false"/>
      <protection locked="true" hidden="true"/>
    </xf>
    <xf numFmtId="164" fontId="14" fillId="2" borderId="5" xfId="0" applyFont="true" applyBorder="true" applyAlignment="true" applyProtection="true">
      <alignment horizontal="general" vertical="center" textRotation="0" wrapText="false" indent="0" shrinkToFit="false"/>
      <protection locked="true" hidden="true"/>
    </xf>
    <xf numFmtId="167" fontId="14" fillId="3" borderId="12" xfId="0" applyFont="true" applyBorder="true" applyAlignment="true" applyProtection="true">
      <alignment horizontal="general" vertical="center" textRotation="0" wrapText="false" indent="0" shrinkToFit="false"/>
      <protection locked="false" hidden="true"/>
    </xf>
    <xf numFmtId="165" fontId="4" fillId="2" borderId="8" xfId="0" applyFont="true" applyBorder="true" applyAlignment="true" applyProtection="true">
      <alignment horizontal="general" vertical="center" textRotation="0" wrapText="false" indent="0" shrinkToFit="false"/>
      <protection locked="true" hidden="true"/>
    </xf>
    <xf numFmtId="165" fontId="4" fillId="3" borderId="8" xfId="0" applyFont="true" applyBorder="true" applyAlignment="true" applyProtection="true">
      <alignment horizontal="general" vertical="center" textRotation="0" wrapText="false" indent="0" shrinkToFit="false"/>
      <protection locked="false" hidden="true"/>
    </xf>
    <xf numFmtId="164" fontId="0" fillId="0" borderId="12" xfId="0" applyFont="false" applyBorder="true" applyAlignment="true" applyProtection="false">
      <alignment horizontal="general" vertical="bottom" textRotation="0" wrapText="false" indent="0" shrinkToFit="false"/>
      <protection locked="true" hidden="false"/>
    </xf>
    <xf numFmtId="164" fontId="13" fillId="2" borderId="9" xfId="0" applyFont="true" applyBorder="true" applyAlignment="true" applyProtection="true">
      <alignment horizontal="left" vertical="center" textRotation="0" wrapText="false" indent="0" shrinkToFit="false"/>
      <protection locked="true" hidden="true"/>
    </xf>
    <xf numFmtId="164" fontId="0" fillId="0" borderId="21" xfId="0" applyFont="false" applyBorder="true" applyAlignment="true" applyProtection="false">
      <alignment horizontal="general" vertical="bottom" textRotation="0" wrapText="false" indent="0" shrinkToFit="false"/>
      <protection locked="true" hidden="false"/>
    </xf>
    <xf numFmtId="165" fontId="4" fillId="2" borderId="22" xfId="0" applyFont="true" applyBorder="true" applyAlignment="true" applyProtection="false">
      <alignment horizontal="general" vertical="bottom" textRotation="0" wrapText="false" indent="0" shrinkToFit="false"/>
      <protection locked="true" hidden="false"/>
    </xf>
    <xf numFmtId="164" fontId="13" fillId="2" borderId="0" xfId="0" applyFont="true" applyBorder="false" applyAlignment="true" applyProtection="true">
      <alignment horizontal="left" vertical="center" textRotation="0" wrapText="false" indent="0" shrinkToFit="false"/>
      <protection locked="true" hidden="true"/>
    </xf>
    <xf numFmtId="164" fontId="10" fillId="2" borderId="0" xfId="0" applyFont="true" applyBorder="false" applyAlignment="true" applyProtection="true">
      <alignment horizontal="general" vertical="bottom" textRotation="0" wrapText="false" indent="0" shrinkToFit="false"/>
      <protection locked="true" hidden="true"/>
    </xf>
    <xf numFmtId="164" fontId="8" fillId="2" borderId="18" xfId="0" applyFont="true" applyBorder="true" applyAlignment="true" applyProtection="true">
      <alignment horizontal="left" vertical="center" textRotation="0" wrapText="false" indent="0" shrinkToFit="false"/>
      <protection locked="true" hidden="true"/>
    </xf>
    <xf numFmtId="164" fontId="10" fillId="2" borderId="11" xfId="0" applyFont="true" applyBorder="true" applyAlignment="true" applyProtection="true">
      <alignment horizontal="general" vertical="center" textRotation="0" wrapText="false" indent="0" shrinkToFit="false"/>
      <protection locked="true" hidden="true"/>
    </xf>
    <xf numFmtId="164" fontId="10" fillId="2" borderId="12" xfId="0" applyFont="true" applyBorder="true" applyAlignment="true" applyProtection="true">
      <alignment horizontal="general" vertical="center" textRotation="0" wrapText="false" indent="0" shrinkToFit="false"/>
      <protection locked="true" hidden="true"/>
    </xf>
    <xf numFmtId="164" fontId="16" fillId="2" borderId="11" xfId="0" applyFont="true" applyBorder="true" applyAlignment="true" applyProtection="true">
      <alignment horizontal="left" vertical="center" textRotation="0" wrapText="false" indent="0" shrinkToFit="false"/>
      <protection locked="true" hidden="true"/>
    </xf>
    <xf numFmtId="164" fontId="11" fillId="2" borderId="12" xfId="0" applyFont="true" applyBorder="true" applyAlignment="true" applyProtection="true">
      <alignment horizontal="general" vertical="bottom" textRotation="0" wrapText="false" indent="0" shrinkToFit="false"/>
      <protection locked="true" hidden="true"/>
    </xf>
    <xf numFmtId="164" fontId="17" fillId="0" borderId="23" xfId="0" applyFont="true" applyBorder="true" applyAlignment="true" applyProtection="true">
      <alignment horizontal="left" vertical="center" textRotation="0" wrapText="false" indent="1" shrinkToFit="false"/>
      <protection locked="true" hidden="true"/>
    </xf>
    <xf numFmtId="164" fontId="18" fillId="0" borderId="24" xfId="0" applyFont="true" applyBorder="true" applyAlignment="true" applyProtection="true">
      <alignment horizontal="center" vertical="bottom" textRotation="0" wrapText="false" indent="0" shrinkToFit="false"/>
      <protection locked="true" hidden="true"/>
    </xf>
    <xf numFmtId="165" fontId="17" fillId="0" borderId="25" xfId="0" applyFont="true" applyBorder="true" applyAlignment="true" applyProtection="true">
      <alignment horizontal="right" vertical="center" textRotation="0" wrapText="false" indent="1" shrinkToFit="false"/>
      <protection locked="true" hidden="true"/>
    </xf>
    <xf numFmtId="164" fontId="4" fillId="2" borderId="0" xfId="0" applyFont="true" applyBorder="false" applyAlignment="true" applyProtection="true">
      <alignment horizontal="center" vertical="bottom" textRotation="0" wrapText="false" indent="0" shrinkToFit="false"/>
      <protection locked="true" hidden="true"/>
    </xf>
    <xf numFmtId="164" fontId="19" fillId="2" borderId="0" xfId="0" applyFont="true" applyBorder="false" applyAlignment="true" applyProtection="false">
      <alignment horizontal="center" vertical="bottom" textRotation="0" wrapText="true" indent="0" shrinkToFit="false"/>
      <protection locked="true" hidden="false"/>
    </xf>
    <xf numFmtId="164" fontId="17" fillId="0" borderId="26" xfId="0" applyFont="true" applyBorder="true" applyAlignment="true" applyProtection="true">
      <alignment horizontal="left" vertical="center" textRotation="0" wrapText="false" indent="1" shrinkToFit="false"/>
      <protection locked="true" hidden="true"/>
    </xf>
    <xf numFmtId="164" fontId="7" fillId="0" borderId="0" xfId="0" applyFont="true" applyBorder="false" applyAlignment="true" applyProtection="true">
      <alignment horizontal="center" vertical="bottom" textRotation="0" wrapText="false" indent="0" shrinkToFit="false"/>
      <protection locked="true" hidden="true"/>
    </xf>
    <xf numFmtId="165" fontId="17" fillId="0" borderId="27" xfId="0" applyFont="true" applyBorder="true" applyAlignment="true" applyProtection="true">
      <alignment horizontal="right" vertical="center" textRotation="0" wrapText="false" indent="1" shrinkToFit="false"/>
      <protection locked="true" hidden="true"/>
    </xf>
    <xf numFmtId="164" fontId="17" fillId="0" borderId="26" xfId="0" applyFont="true" applyBorder="true" applyAlignment="true" applyProtection="false">
      <alignment horizontal="left" vertical="center" textRotation="0" wrapText="false" indent="1"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5" fontId="17" fillId="0" borderId="27" xfId="0" applyFont="true" applyBorder="true" applyAlignment="true" applyProtection="false">
      <alignment horizontal="right" vertical="center" textRotation="0" wrapText="false" indent="1" shrinkToFit="false"/>
      <protection locked="true" hidden="false"/>
    </xf>
    <xf numFmtId="164" fontId="20" fillId="0" borderId="28" xfId="0" applyFont="true" applyBorder="true" applyAlignment="true" applyProtection="false">
      <alignment horizontal="left" vertical="center" textRotation="0" wrapText="false" indent="1"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5" fontId="21" fillId="0" borderId="29" xfId="0" applyFont="true" applyBorder="true" applyAlignment="true" applyProtection="false">
      <alignment horizontal="right" vertical="center" textRotation="0" wrapText="false" indent="1"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22" fillId="4" borderId="30" xfId="0" applyFont="true" applyBorder="true" applyAlignment="true" applyProtection="false">
      <alignment horizontal="left" vertical="center" textRotation="0" wrapText="false" indent="1" shrinkToFit="false"/>
      <protection locked="true" hidden="false"/>
    </xf>
    <xf numFmtId="164" fontId="20" fillId="0" borderId="26" xfId="0" applyFont="true" applyBorder="true" applyAlignment="true" applyProtection="false">
      <alignment horizontal="left" vertical="center" textRotation="0" wrapText="false" indent="1" shrinkToFit="false"/>
      <protection locked="true" hidden="false"/>
    </xf>
    <xf numFmtId="165" fontId="23" fillId="0" borderId="27" xfId="0" applyFont="true" applyBorder="true" applyAlignment="true" applyProtection="false">
      <alignment horizontal="right" vertical="center" textRotation="0" wrapText="false" indent="1" shrinkToFit="false"/>
      <protection locked="true" hidden="false"/>
    </xf>
    <xf numFmtId="171" fontId="24" fillId="0" borderId="27" xfId="0" applyFont="true" applyBorder="true" applyAlignment="true" applyProtection="false">
      <alignment horizontal="right" vertical="center" textRotation="0" wrapText="false" indent="1" shrinkToFit="false"/>
      <protection locked="true" hidden="false"/>
    </xf>
    <xf numFmtId="164" fontId="20" fillId="0" borderId="31" xfId="0" applyFont="true" applyBorder="true" applyAlignment="true" applyProtection="false">
      <alignment horizontal="left" vertical="center" textRotation="0" wrapText="false" indent="1" shrinkToFit="false"/>
      <protection locked="true" hidden="false"/>
    </xf>
    <xf numFmtId="164" fontId="0" fillId="0" borderId="32" xfId="0" applyFont="false" applyBorder="true" applyAlignment="true" applyProtection="false">
      <alignment horizontal="general" vertical="bottom" textRotation="0" wrapText="false" indent="0" shrinkToFit="false"/>
      <protection locked="true" hidden="false"/>
    </xf>
    <xf numFmtId="171" fontId="24" fillId="0" borderId="33" xfId="0" applyFont="true" applyBorder="true" applyAlignment="true" applyProtection="false">
      <alignment horizontal="right" vertical="center" textRotation="0" wrapText="false" indent="1" shrinkToFit="false"/>
      <protection locked="true" hidden="false"/>
    </xf>
    <xf numFmtId="164" fontId="20" fillId="5" borderId="18" xfId="0" applyFont="true" applyBorder="true" applyAlignment="true" applyProtection="false">
      <alignment horizontal="left" vertical="center" textRotation="0" wrapText="false" indent="1" shrinkToFit="false"/>
      <protection locked="true" hidden="false"/>
    </xf>
    <xf numFmtId="164" fontId="25" fillId="0" borderId="34" xfId="0" applyFont="true" applyBorder="true" applyAlignment="true" applyProtection="false">
      <alignment horizontal="left" vertical="top" textRotation="0" wrapText="true" indent="0" shrinkToFit="false"/>
      <protection locked="true" hidden="false"/>
    </xf>
    <xf numFmtId="164" fontId="25" fillId="0" borderId="7" xfId="0" applyFont="true" applyBorder="true" applyAlignment="true" applyProtection="false">
      <alignment horizontal="left" vertical="top" textRotation="0" wrapText="true" indent="0" shrinkToFit="false"/>
      <protection locked="true" hidden="false"/>
    </xf>
    <xf numFmtId="164" fontId="26"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A7A3A"/>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219240</xdr:colOff>
      <xdr:row>0</xdr:row>
      <xdr:rowOff>157680</xdr:rowOff>
    </xdr:from>
    <xdr:to>
      <xdr:col>2</xdr:col>
      <xdr:colOff>1085760</xdr:colOff>
      <xdr:row>2</xdr:row>
      <xdr:rowOff>69120</xdr:rowOff>
    </xdr:to>
    <xdr:pic>
      <xdr:nvPicPr>
        <xdr:cNvPr id="0" name="Picture 1" descr=""/>
        <xdr:cNvPicPr/>
      </xdr:nvPicPr>
      <xdr:blipFill>
        <a:blip r:embed="rId1"/>
        <a:stretch/>
      </xdr:blipFill>
      <xdr:spPr>
        <a:xfrm>
          <a:off x="219240" y="157680"/>
          <a:ext cx="3090240" cy="6926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N84"/>
  <sheetViews>
    <sheetView showFormulas="false" showGridLines="false" showRowColHeaders="true" showZeros="true" rightToLeft="false" tabSelected="true" showOutlineSymbols="true" defaultGridColor="true" view="normal" topLeftCell="A1" colorId="64" zoomScale="154" zoomScaleNormal="154" zoomScalePageLayoutView="100" workbookViewId="0">
      <selection pane="topLeft" activeCell="Q10" activeCellId="0" sqref="Q10"/>
    </sheetView>
  </sheetViews>
  <sheetFormatPr defaultColWidth="8.82421875" defaultRowHeight="12.75" zeroHeight="false" outlineLevelRow="0" outlineLevelCol="0"/>
  <cols>
    <col collapsed="false" customWidth="false" hidden="false" outlineLevel="0" max="1" min="1" style="1" width="8.82"/>
    <col collapsed="false" customWidth="true" hidden="false" outlineLevel="0" max="2" min="2" style="1" width="22.73"/>
    <col collapsed="false" customWidth="true" hidden="false" outlineLevel="0" max="3" min="3" style="1" width="17.82"/>
    <col collapsed="false" customWidth="true" hidden="false" outlineLevel="0" max="4" min="4" style="1" width="37.73"/>
    <col collapsed="false" customWidth="true" hidden="false" outlineLevel="0" max="5" min="5" style="1" width="13"/>
    <col collapsed="false" customWidth="true" hidden="false" outlineLevel="0" max="6" min="6" style="1" width="0.27"/>
    <col collapsed="false" customWidth="true" hidden="false" outlineLevel="0" max="14" min="7" style="1" width="0.18"/>
    <col collapsed="false" customWidth="false" hidden="false" outlineLevel="0" max="16384" min="15" style="1" width="8.82"/>
  </cols>
  <sheetData>
    <row r="2" customFormat="false" ht="48.75" hidden="false" customHeight="true" outlineLevel="0" collapsed="false">
      <c r="C2" s="2"/>
      <c r="D2" s="3" t="s">
        <v>0</v>
      </c>
      <c r="E2" s="3"/>
      <c r="F2" s="2"/>
      <c r="G2" s="2"/>
      <c r="H2" s="2"/>
      <c r="I2" s="2"/>
      <c r="J2" s="2"/>
      <c r="K2" s="2"/>
      <c r="L2" s="2"/>
      <c r="M2" s="2"/>
      <c r="N2" s="2"/>
    </row>
    <row r="3" customFormat="false" ht="19.5" hidden="false" customHeight="true" outlineLevel="0" collapsed="false">
      <c r="C3" s="2"/>
      <c r="D3" s="3"/>
      <c r="E3" s="3"/>
      <c r="F3" s="2"/>
      <c r="G3" s="2"/>
      <c r="H3" s="2"/>
      <c r="I3" s="2"/>
      <c r="J3" s="2"/>
      <c r="K3" s="2"/>
      <c r="L3" s="2"/>
      <c r="M3" s="2"/>
      <c r="N3" s="2"/>
    </row>
    <row r="4" customFormat="false" ht="58.5" hidden="false" customHeight="true" outlineLevel="0" collapsed="false">
      <c r="B4" s="4" t="s">
        <v>1</v>
      </c>
      <c r="C4" s="4"/>
      <c r="D4" s="4"/>
      <c r="E4" s="5"/>
      <c r="F4" s="5"/>
      <c r="G4" s="5"/>
      <c r="H4" s="5"/>
      <c r="I4" s="5"/>
      <c r="J4" s="5"/>
      <c r="K4" s="5"/>
      <c r="L4" s="5"/>
      <c r="M4" s="5"/>
      <c r="N4" s="5"/>
    </row>
    <row r="5" customFormat="false" ht="27" hidden="false" customHeight="true" outlineLevel="0" collapsed="false">
      <c r="B5" s="6"/>
      <c r="C5" s="6"/>
      <c r="D5" s="6"/>
      <c r="E5" s="5"/>
      <c r="F5" s="5"/>
      <c r="G5" s="5"/>
      <c r="H5" s="5"/>
      <c r="I5" s="5"/>
      <c r="J5" s="5"/>
      <c r="K5" s="5"/>
      <c r="L5" s="5"/>
      <c r="M5" s="5"/>
      <c r="N5" s="5"/>
    </row>
    <row r="6" customFormat="false" ht="21" hidden="false" customHeight="true" outlineLevel="0" collapsed="false">
      <c r="B6" s="7" t="s">
        <v>2</v>
      </c>
      <c r="C6" s="8"/>
      <c r="D6" s="9"/>
      <c r="E6" s="9"/>
    </row>
    <row r="7" customFormat="false" ht="27" hidden="false" customHeight="true" outlineLevel="0" collapsed="false">
      <c r="B7" s="8"/>
      <c r="C7" s="8"/>
      <c r="H7" s="8"/>
    </row>
    <row r="8" customFormat="false" ht="22.5" hidden="false" customHeight="true" outlineLevel="0" collapsed="false">
      <c r="B8" s="10" t="s">
        <v>3</v>
      </c>
      <c r="C8" s="11" t="n">
        <v>700000</v>
      </c>
      <c r="D8" s="12" t="s">
        <v>4</v>
      </c>
      <c r="E8" s="13" t="n">
        <v>0.2</v>
      </c>
      <c r="G8" s="8"/>
    </row>
    <row r="9" customFormat="false" ht="25.5" hidden="false" customHeight="true" outlineLevel="0" collapsed="false">
      <c r="B9" s="14" t="s">
        <v>5</v>
      </c>
      <c r="C9" s="15" t="n">
        <v>150000</v>
      </c>
      <c r="D9" s="16" t="s">
        <v>6</v>
      </c>
      <c r="E9" s="17" t="n">
        <v>0.02</v>
      </c>
      <c r="G9" s="8"/>
    </row>
    <row r="10" customFormat="false" ht="27.75" hidden="false" customHeight="true" outlineLevel="0" collapsed="false">
      <c r="B10" s="14" t="s">
        <v>7</v>
      </c>
      <c r="C10" s="18" t="n">
        <v>1150000</v>
      </c>
      <c r="D10" s="19" t="s">
        <v>8</v>
      </c>
      <c r="E10" s="17" t="n">
        <v>0.12</v>
      </c>
      <c r="G10" s="8"/>
    </row>
    <row r="11" customFormat="false" ht="24.75" hidden="false" customHeight="true" outlineLevel="0" collapsed="false">
      <c r="B11" s="20" t="s">
        <v>9</v>
      </c>
      <c r="C11" s="21" t="n">
        <v>6</v>
      </c>
      <c r="D11" s="19" t="s">
        <v>10</v>
      </c>
      <c r="E11" s="22" t="s">
        <v>11</v>
      </c>
    </row>
    <row r="12" customFormat="false" ht="21.75" hidden="false" customHeight="true" outlineLevel="0" collapsed="false">
      <c r="B12" s="14" t="s">
        <v>12</v>
      </c>
      <c r="C12" s="11" t="n">
        <v>3000</v>
      </c>
      <c r="D12" s="14" t="s">
        <v>13</v>
      </c>
      <c r="E12" s="11" t="n">
        <v>1200</v>
      </c>
    </row>
    <row r="13" customFormat="false" ht="21.75" hidden="false" customHeight="true" outlineLevel="0" collapsed="false">
      <c r="B13" s="14" t="s">
        <v>14</v>
      </c>
      <c r="C13" s="13" t="n">
        <v>0.06</v>
      </c>
      <c r="D13" s="14" t="s">
        <v>15</v>
      </c>
      <c r="E13" s="23" t="n">
        <v>0.0178</v>
      </c>
    </row>
    <row r="14" customFormat="false" ht="27" hidden="false" customHeight="true" outlineLevel="0" collapsed="false">
      <c r="B14" s="8"/>
      <c r="C14" s="8"/>
      <c r="H14" s="8"/>
      <c r="I14" s="24"/>
    </row>
    <row r="15" customFormat="false" ht="39.75" hidden="false" customHeight="true" outlineLevel="0" collapsed="false">
      <c r="B15" s="25" t="s">
        <v>16</v>
      </c>
      <c r="C15" s="25"/>
      <c r="D15" s="25"/>
      <c r="E15" s="26"/>
    </row>
    <row r="16" customFormat="false" ht="22.5" hidden="false" customHeight="true" outlineLevel="0" collapsed="false">
      <c r="B16" s="27" t="s">
        <v>17</v>
      </c>
      <c r="C16" s="28"/>
      <c r="D16" s="29" t="n">
        <f aca="false">C8</f>
        <v>700000</v>
      </c>
      <c r="E16" s="30"/>
    </row>
    <row r="17" customFormat="false" ht="22.5" hidden="false" customHeight="true" outlineLevel="0" collapsed="false">
      <c r="B17" s="27" t="s">
        <v>18</v>
      </c>
      <c r="C17" s="28"/>
      <c r="D17" s="31" t="n">
        <f aca="false">C9</f>
        <v>150000</v>
      </c>
      <c r="E17" s="26"/>
    </row>
    <row r="18" customFormat="false" ht="24" hidden="false" customHeight="true" outlineLevel="0" collapsed="false">
      <c r="B18" s="32" t="s">
        <v>19</v>
      </c>
      <c r="C18" s="33"/>
      <c r="D18" s="31" t="n">
        <f aca="false">D16+D17</f>
        <v>850000</v>
      </c>
      <c r="E18" s="26"/>
    </row>
    <row r="19" customFormat="false" ht="39" hidden="false" customHeight="true" outlineLevel="0" collapsed="false">
      <c r="B19" s="34" t="s">
        <v>20</v>
      </c>
      <c r="C19" s="35" t="n">
        <f aca="false">E8</f>
        <v>0.2</v>
      </c>
      <c r="D19" s="36" t="n">
        <f aca="false">D18*E8</f>
        <v>170000</v>
      </c>
      <c r="E19" s="26"/>
    </row>
    <row r="20" customFormat="false" ht="25.5" hidden="false" customHeight="true" outlineLevel="0" collapsed="false">
      <c r="B20" s="37"/>
      <c r="C20" s="38"/>
      <c r="D20" s="39"/>
      <c r="E20" s="26"/>
    </row>
    <row r="21" customFormat="false" ht="60.75" hidden="false" customHeight="true" outlineLevel="0" collapsed="false">
      <c r="B21" s="25" t="s">
        <v>21</v>
      </c>
      <c r="C21" s="25"/>
      <c r="D21" s="25"/>
      <c r="E21" s="26"/>
    </row>
    <row r="22" customFormat="false" ht="21.75" hidden="false" customHeight="true" outlineLevel="0" collapsed="false">
      <c r="B22" s="40" t="s">
        <v>22</v>
      </c>
      <c r="C22" s="41"/>
      <c r="D22" s="42" t="n">
        <f aca="false">D18-D19</f>
        <v>680000</v>
      </c>
      <c r="E22" s="26"/>
    </row>
    <row r="23" customFormat="false" ht="21.75" hidden="false" customHeight="true" outlineLevel="0" collapsed="false">
      <c r="B23" s="43" t="s">
        <v>23</v>
      </c>
      <c r="C23" s="44" t="n">
        <f aca="false">E9</f>
        <v>0.02</v>
      </c>
      <c r="D23" s="31" t="n">
        <f aca="false">D22*E9</f>
        <v>13600</v>
      </c>
      <c r="E23" s="26"/>
    </row>
    <row r="24" customFormat="false" ht="22.5" hidden="false" customHeight="true" outlineLevel="0" collapsed="false">
      <c r="B24" s="43" t="s">
        <v>24</v>
      </c>
      <c r="C24" s="45"/>
      <c r="D24" s="46" t="n">
        <v>800</v>
      </c>
      <c r="E24" s="26"/>
    </row>
    <row r="25" customFormat="false" ht="51" hidden="false" customHeight="true" outlineLevel="0" collapsed="false">
      <c r="B25" s="34" t="s">
        <v>25</v>
      </c>
      <c r="C25" s="47"/>
      <c r="D25" s="48" t="n">
        <f aca="false">SUM(D22:D24)</f>
        <v>694400</v>
      </c>
      <c r="E25" s="26"/>
    </row>
    <row r="26" customFormat="false" ht="27" hidden="false" customHeight="true" outlineLevel="0" collapsed="false">
      <c r="B26" s="37"/>
      <c r="C26" s="49"/>
      <c r="D26" s="50"/>
      <c r="E26" s="26"/>
    </row>
    <row r="27" customFormat="false" ht="58.5" hidden="false" customHeight="true" outlineLevel="0" collapsed="false">
      <c r="B27" s="51" t="s">
        <v>26</v>
      </c>
      <c r="C27" s="51"/>
      <c r="D27" s="51"/>
    </row>
    <row r="28" customFormat="false" ht="21.75" hidden="false" customHeight="true" outlineLevel="0" collapsed="false">
      <c r="B28" s="52" t="s">
        <v>27</v>
      </c>
      <c r="C28" s="53" t="s">
        <v>11</v>
      </c>
    </row>
    <row r="29" customFormat="false" ht="21.75" hidden="false" customHeight="true" outlineLevel="0" collapsed="false">
      <c r="B29" s="52" t="s">
        <v>28</v>
      </c>
      <c r="D29" s="29" t="n">
        <f aca="false">IF($C$28="Yes",D19,0)</f>
        <v>0</v>
      </c>
    </row>
    <row r="30" customFormat="false" ht="21.75" hidden="false" customHeight="true" outlineLevel="0" collapsed="false">
      <c r="B30" s="52" t="s">
        <v>29</v>
      </c>
      <c r="C30" s="54" t="n">
        <v>0.03</v>
      </c>
      <c r="D30" s="29" t="n">
        <f aca="false">IF($C$28="Yes",D29*C30,0)</f>
        <v>0</v>
      </c>
    </row>
    <row r="31" customFormat="false" ht="21.75" hidden="false" customHeight="true" outlineLevel="0" collapsed="false">
      <c r="B31" s="52" t="s">
        <v>30</v>
      </c>
      <c r="C31" s="54" t="n">
        <v>0.12</v>
      </c>
    </row>
    <row r="32" customFormat="false" ht="21.75" hidden="false" customHeight="true" outlineLevel="0" collapsed="false">
      <c r="B32" s="52" t="s">
        <v>31</v>
      </c>
      <c r="D32" s="55" t="n">
        <v>500</v>
      </c>
    </row>
    <row r="33" customFormat="false" ht="21.75" hidden="false" customHeight="true" outlineLevel="0" collapsed="false">
      <c r="B33" s="52" t="s">
        <v>32</v>
      </c>
      <c r="D33" s="29" t="n">
        <f aca="false">IF($C$28="Yes",D29+D30+D32,0)</f>
        <v>0</v>
      </c>
    </row>
    <row r="34" customFormat="false" ht="21.75" hidden="false" customHeight="true" outlineLevel="0" collapsed="false">
      <c r="B34" s="52" t="s">
        <v>33</v>
      </c>
      <c r="C34" s="56" t="n">
        <f aca="false">IF($C$28="Yes",D34/$C$11,0)</f>
        <v>0</v>
      </c>
      <c r="D34" s="29" t="n">
        <f aca="false">IF($C$28="Yes",D33*C31/12*$C$11,0)</f>
        <v>0</v>
      </c>
    </row>
    <row r="35" customFormat="false" ht="13.5" hidden="false" customHeight="true" outlineLevel="0" collapsed="false"/>
    <row r="36" customFormat="false" ht="58.5" hidden="false" customHeight="true" outlineLevel="0" collapsed="false">
      <c r="B36" s="57" t="s">
        <v>34</v>
      </c>
      <c r="C36" s="57"/>
      <c r="D36" s="57"/>
      <c r="E36" s="26"/>
    </row>
    <row r="37" customFormat="false" ht="21" hidden="false" customHeight="true" outlineLevel="0" collapsed="false">
      <c r="A37" s="58"/>
      <c r="B37" s="43" t="s">
        <v>17</v>
      </c>
      <c r="C37" s="28"/>
      <c r="D37" s="31" t="n">
        <f aca="false">D16</f>
        <v>700000</v>
      </c>
      <c r="E37" s="26"/>
    </row>
    <row r="38" customFormat="false" ht="21.75" hidden="false" customHeight="true" outlineLevel="0" collapsed="false">
      <c r="A38" s="58"/>
      <c r="B38" s="43" t="s">
        <v>18</v>
      </c>
      <c r="C38" s="28"/>
      <c r="D38" s="31" t="n">
        <f aca="false">D17</f>
        <v>150000</v>
      </c>
      <c r="E38" s="26"/>
    </row>
    <row r="39" customFormat="false" ht="21.75" hidden="false" customHeight="true" outlineLevel="0" collapsed="false">
      <c r="A39" s="58"/>
      <c r="B39" s="43" t="s">
        <v>35</v>
      </c>
      <c r="C39" s="45"/>
      <c r="D39" s="31" t="n">
        <v>1500</v>
      </c>
      <c r="E39" s="26"/>
    </row>
    <row r="40" customFormat="false" ht="21.75" hidden="false" customHeight="true" outlineLevel="0" collapsed="false">
      <c r="A40" s="58"/>
      <c r="B40" s="43" t="s">
        <v>36</v>
      </c>
      <c r="C40" s="59" t="n">
        <f aca="false">D40/C11</f>
        <v>6944</v>
      </c>
      <c r="D40" s="31" t="n">
        <f aca="false">D25*E10/12*C11</f>
        <v>41664</v>
      </c>
      <c r="E40" s="26"/>
    </row>
    <row r="41" customFormat="false" ht="21.75" hidden="false" customHeight="true" outlineLevel="0" collapsed="false">
      <c r="A41" s="58"/>
      <c r="B41" s="43" t="s">
        <v>37</v>
      </c>
      <c r="C41" s="60" t="n">
        <f aca="false">C12/12</f>
        <v>250</v>
      </c>
      <c r="D41" s="31" t="n">
        <f aca="false">C41*C11</f>
        <v>1500</v>
      </c>
      <c r="E41" s="26"/>
    </row>
    <row r="42" customFormat="false" ht="21.75" hidden="false" customHeight="true" outlineLevel="0" collapsed="false">
      <c r="A42" s="58"/>
      <c r="B42" s="43" t="s">
        <v>38</v>
      </c>
      <c r="C42" s="60" t="n">
        <f aca="false">E12/12</f>
        <v>100</v>
      </c>
      <c r="D42" s="31" t="n">
        <f aca="false">C42*C11</f>
        <v>600</v>
      </c>
      <c r="E42" s="26"/>
    </row>
    <row r="43" customFormat="false" ht="21.75" hidden="false" customHeight="true" outlineLevel="0" collapsed="false">
      <c r="A43" s="58"/>
      <c r="B43" s="43" t="s">
        <v>39</v>
      </c>
      <c r="C43" s="60" t="n">
        <v>200</v>
      </c>
      <c r="D43" s="31" t="n">
        <f aca="false">C43*C11</f>
        <v>1200</v>
      </c>
      <c r="E43" s="26"/>
    </row>
    <row r="44" customFormat="false" ht="21.75" hidden="false" customHeight="true" outlineLevel="0" collapsed="false">
      <c r="B44" s="52" t="s">
        <v>23</v>
      </c>
      <c r="C44" s="61" t="n">
        <f aca="false">E9</f>
        <v>0.02</v>
      </c>
      <c r="D44" s="29" t="n">
        <f aca="false">D23</f>
        <v>13600</v>
      </c>
    </row>
    <row r="45" customFormat="false" ht="21.75" hidden="false" customHeight="true" outlineLevel="0" collapsed="false">
      <c r="B45" s="52" t="s">
        <v>24</v>
      </c>
      <c r="D45" s="29" t="n">
        <f aca="false">D24</f>
        <v>800</v>
      </c>
    </row>
    <row r="46" customFormat="false" ht="21.75" hidden="false" customHeight="true" outlineLevel="0" collapsed="false">
      <c r="B46" s="52" t="s">
        <v>29</v>
      </c>
      <c r="C46" s="62" t="n">
        <f aca="false">C30</f>
        <v>0.03</v>
      </c>
      <c r="D46" s="29" t="n">
        <f aca="false">IF($C$28="Yes",D30,0)</f>
        <v>0</v>
      </c>
    </row>
    <row r="47" customFormat="false" ht="21.75" hidden="false" customHeight="true" outlineLevel="0" collapsed="false">
      <c r="B47" s="52" t="s">
        <v>31</v>
      </c>
      <c r="D47" s="29" t="n">
        <f aca="false">IF($C$28="Yes",D32,0)</f>
        <v>0</v>
      </c>
    </row>
    <row r="48" customFormat="false" ht="21.75" hidden="false" customHeight="true" outlineLevel="0" collapsed="false">
      <c r="B48" s="52" t="s">
        <v>33</v>
      </c>
      <c r="C48" s="56" t="n">
        <f aca="false">IF($C$28="Yes",D48/$C$11,0)</f>
        <v>0</v>
      </c>
      <c r="D48" s="29" t="n">
        <f aca="false">IF($C$28="Yes",D34,0)</f>
        <v>0</v>
      </c>
    </row>
    <row r="49" customFormat="false" ht="42" hidden="true" customHeight="true" outlineLevel="0" collapsed="false">
      <c r="B49" s="63" t="s">
        <v>40</v>
      </c>
      <c r="D49" s="64" t="n">
        <f aca="false">SUM(D37:D48)</f>
        <v>910864</v>
      </c>
      <c r="E49" s="26"/>
    </row>
    <row r="50" customFormat="false" ht="27.75" hidden="false" customHeight="true" outlineLevel="0" collapsed="false">
      <c r="B50" s="37"/>
      <c r="C50" s="49"/>
      <c r="D50" s="50"/>
      <c r="E50" s="26"/>
    </row>
    <row r="51" customFormat="false" ht="60" hidden="false" customHeight="true" outlineLevel="0" collapsed="false">
      <c r="B51" s="25" t="s">
        <v>41</v>
      </c>
      <c r="C51" s="25"/>
      <c r="D51" s="25"/>
      <c r="E51" s="26"/>
    </row>
    <row r="52" customFormat="false" ht="22.5" hidden="false" customHeight="true" outlineLevel="0" collapsed="false">
      <c r="B52" s="65" t="s">
        <v>42</v>
      </c>
      <c r="C52" s="66" t="n">
        <f aca="false">C13</f>
        <v>0.06</v>
      </c>
      <c r="D52" s="67" t="n">
        <f aca="false">C52*C10</f>
        <v>69000</v>
      </c>
      <c r="E52" s="26"/>
    </row>
    <row r="53" customFormat="false" ht="21.75" hidden="false" customHeight="true" outlineLevel="0" collapsed="false">
      <c r="B53" s="68" t="s">
        <v>43</v>
      </c>
      <c r="C53" s="69" t="n">
        <f aca="false">E13</f>
        <v>0.0178</v>
      </c>
      <c r="D53" s="70" t="n">
        <f aca="false">C53*C10</f>
        <v>20470</v>
      </c>
      <c r="E53" s="26"/>
    </row>
    <row r="54" customFormat="false" ht="21.75" hidden="false" customHeight="true" outlineLevel="0" collapsed="false">
      <c r="B54" s="68" t="s">
        <v>44</v>
      </c>
      <c r="C54" s="45"/>
      <c r="D54" s="71" t="n">
        <v>1200</v>
      </c>
      <c r="E54" s="26"/>
    </row>
    <row r="55" customFormat="false" ht="21.75" hidden="false" customHeight="true" outlineLevel="0" collapsed="false">
      <c r="B55" s="68" t="s">
        <v>45</v>
      </c>
      <c r="C55" s="72"/>
      <c r="D55" s="71" t="n">
        <v>0</v>
      </c>
    </row>
    <row r="56" customFormat="false" ht="28.5" hidden="false" customHeight="true" outlineLevel="0" collapsed="false">
      <c r="B56" s="73" t="s">
        <v>46</v>
      </c>
      <c r="C56" s="74"/>
      <c r="D56" s="75" t="n">
        <f aca="false">SUM(D52:D55)</f>
        <v>90670</v>
      </c>
      <c r="E56" s="26"/>
    </row>
    <row r="57" customFormat="false" ht="27.75" hidden="false" customHeight="true" outlineLevel="0" collapsed="false">
      <c r="B57" s="76"/>
      <c r="C57" s="77"/>
      <c r="D57" s="50"/>
      <c r="E57" s="26"/>
    </row>
    <row r="58" customFormat="false" ht="60" hidden="false" customHeight="true" outlineLevel="0" collapsed="false">
      <c r="B58" s="78" t="s">
        <v>47</v>
      </c>
      <c r="C58" s="78"/>
      <c r="D58" s="78"/>
      <c r="E58" s="26"/>
    </row>
    <row r="59" customFormat="false" ht="21.75" hidden="false" customHeight="true" outlineLevel="0" collapsed="false">
      <c r="B59" s="79" t="s">
        <v>48</v>
      </c>
      <c r="C59" s="80"/>
      <c r="D59" s="31" t="n">
        <f aca="false">C10</f>
        <v>1150000</v>
      </c>
      <c r="E59" s="26"/>
    </row>
    <row r="60" customFormat="false" ht="22.5" hidden="false" customHeight="true" outlineLevel="0" collapsed="false">
      <c r="B60" s="79" t="s">
        <v>49</v>
      </c>
      <c r="C60" s="80"/>
      <c r="D60" s="31" t="n">
        <f aca="false">-D49</f>
        <v>-910864</v>
      </c>
      <c r="E60" s="26"/>
    </row>
    <row r="61" customFormat="false" ht="21.75" hidden="false" customHeight="true" outlineLevel="0" collapsed="false">
      <c r="B61" s="79" t="s">
        <v>50</v>
      </c>
      <c r="C61" s="80"/>
      <c r="D61" s="31" t="n">
        <f aca="false">-D56</f>
        <v>-90670</v>
      </c>
      <c r="E61" s="26"/>
    </row>
    <row r="62" customFormat="false" ht="33.75" hidden="false" customHeight="true" outlineLevel="0" collapsed="false">
      <c r="B62" s="81" t="s">
        <v>51</v>
      </c>
      <c r="C62" s="82"/>
      <c r="D62" s="48" t="n">
        <f aca="false">SUM(D59:D61)</f>
        <v>148466</v>
      </c>
      <c r="E62" s="26"/>
    </row>
    <row r="63" customFormat="false" ht="21" hidden="false" customHeight="true" outlineLevel="0" collapsed="false">
      <c r="B63" s="26"/>
      <c r="C63" s="26"/>
      <c r="D63" s="26"/>
      <c r="E63" s="26"/>
    </row>
    <row r="64" customFormat="false" ht="21" hidden="false" customHeight="true" outlineLevel="0" collapsed="false">
      <c r="B64" s="83" t="s">
        <v>52</v>
      </c>
      <c r="C64" s="84"/>
      <c r="D64" s="85" t="n">
        <f aca="false">D19-D29</f>
        <v>170000</v>
      </c>
      <c r="E64" s="86"/>
      <c r="M64" s="87"/>
      <c r="N64" s="87"/>
    </row>
    <row r="65" customFormat="false" ht="21" hidden="false" customHeight="true" outlineLevel="0" collapsed="false">
      <c r="B65" s="88" t="s">
        <v>53</v>
      </c>
      <c r="C65" s="89"/>
      <c r="D65" s="90" t="n">
        <f aca="false">IF($E$11="Yes",C41+C42+C43,C40+C41+C42+C43+C48)</f>
        <v>7494</v>
      </c>
      <c r="E65" s="86"/>
    </row>
    <row r="66" customFormat="false" ht="21" hidden="false" customHeight="true" outlineLevel="0" collapsed="false">
      <c r="B66" s="91" t="s">
        <v>54</v>
      </c>
      <c r="C66" s="92"/>
      <c r="D66" s="93" t="n">
        <f aca="false">D65*C11</f>
        <v>44964</v>
      </c>
    </row>
    <row r="67" customFormat="false" ht="21" hidden="false" customHeight="true" outlineLevel="0" collapsed="false">
      <c r="B67" s="91" t="s">
        <v>45</v>
      </c>
      <c r="D67" s="93" t="n">
        <f aca="false">D55</f>
        <v>0</v>
      </c>
    </row>
    <row r="68" customFormat="false" ht="21" hidden="false" customHeight="true" outlineLevel="0" collapsed="false">
      <c r="B68" s="94" t="s">
        <v>55</v>
      </c>
      <c r="C68" s="95"/>
      <c r="D68" s="96" t="n">
        <f aca="false">D64+D66+D67</f>
        <v>214964</v>
      </c>
      <c r="E68" s="97"/>
      <c r="F68" s="97"/>
    </row>
    <row r="69" customFormat="false" ht="9.75" hidden="false" customHeight="true" outlineLevel="0" collapsed="false"/>
    <row r="70" customFormat="false" ht="30" hidden="false" customHeight="true" outlineLevel="0" collapsed="false">
      <c r="B70" s="98" t="s">
        <v>56</v>
      </c>
      <c r="C70" s="98"/>
      <c r="D70" s="98"/>
    </row>
    <row r="71" customFormat="false" ht="24" hidden="false" customHeight="true" outlineLevel="0" collapsed="false">
      <c r="B71" s="99" t="s">
        <v>57</v>
      </c>
      <c r="C71" s="92"/>
      <c r="D71" s="100" t="n">
        <f aca="false">D68</f>
        <v>214964</v>
      </c>
    </row>
    <row r="72" customFormat="false" ht="24" hidden="false" customHeight="true" outlineLevel="0" collapsed="false">
      <c r="B72" s="99" t="s">
        <v>58</v>
      </c>
      <c r="C72" s="92"/>
      <c r="D72" s="100" t="n">
        <f aca="false">D62</f>
        <v>148466</v>
      </c>
    </row>
    <row r="73" customFormat="false" ht="24" hidden="false" customHeight="true" outlineLevel="0" collapsed="false">
      <c r="B73" s="99" t="s">
        <v>59</v>
      </c>
      <c r="C73" s="92"/>
      <c r="D73" s="101" t="n">
        <f aca="false">IFERROR(D62/D68,0)</f>
        <v>0.690655179471912</v>
      </c>
    </row>
    <row r="74" customFormat="false" ht="24" hidden="false" customHeight="true" outlineLevel="0" collapsed="false">
      <c r="B74" s="102" t="s">
        <v>60</v>
      </c>
      <c r="C74" s="103"/>
      <c r="D74" s="104" t="n">
        <f aca="false">IFERROR(D62/D68*12/C11,0)</f>
        <v>1.38131035894382</v>
      </c>
    </row>
    <row r="75" customFormat="false" ht="12" hidden="false" customHeight="true" outlineLevel="0" collapsed="false"/>
    <row r="76" customFormat="false" ht="21.75" hidden="false" customHeight="true" outlineLevel="0" collapsed="false">
      <c r="B76" s="105" t="s">
        <v>61</v>
      </c>
      <c r="C76" s="105"/>
      <c r="D76" s="105"/>
      <c r="E76" s="105"/>
      <c r="F76" s="105"/>
      <c r="G76" s="105"/>
      <c r="H76" s="87"/>
      <c r="I76" s="87"/>
      <c r="J76" s="87"/>
      <c r="K76" s="87"/>
      <c r="L76" s="87"/>
    </row>
    <row r="77" customFormat="false" ht="30" hidden="false" customHeight="true" outlineLevel="0" collapsed="false">
      <c r="B77" s="106" t="s">
        <v>62</v>
      </c>
      <c r="C77" s="106"/>
      <c r="D77" s="106"/>
      <c r="E77" s="106"/>
      <c r="F77" s="106"/>
      <c r="G77" s="106"/>
    </row>
    <row r="78" customFormat="false" ht="73.5" hidden="false" customHeight="true" outlineLevel="0" collapsed="false">
      <c r="B78" s="106" t="s">
        <v>63</v>
      </c>
      <c r="C78" s="106"/>
      <c r="D78" s="106"/>
      <c r="E78" s="106"/>
      <c r="F78" s="106"/>
      <c r="G78" s="106"/>
    </row>
    <row r="79" customFormat="false" ht="73.5" hidden="false" customHeight="true" outlineLevel="0" collapsed="false">
      <c r="B79" s="107" t="s">
        <v>64</v>
      </c>
      <c r="C79" s="107"/>
      <c r="D79" s="107"/>
      <c r="E79" s="107"/>
      <c r="F79" s="107"/>
      <c r="G79" s="107"/>
    </row>
    <row r="80" customFormat="false" ht="9.75" hidden="false" customHeight="true" outlineLevel="0" collapsed="false"/>
    <row r="81" customFormat="false" ht="72" hidden="false" customHeight="true" outlineLevel="0" collapsed="false">
      <c r="B81" s="108" t="s">
        <v>65</v>
      </c>
      <c r="C81" s="108"/>
      <c r="D81" s="108"/>
      <c r="E81" s="108"/>
      <c r="F81" s="108"/>
      <c r="G81" s="108"/>
    </row>
    <row r="82" customFormat="false" ht="90" hidden="false" customHeight="true" outlineLevel="0" collapsed="false">
      <c r="B82" s="108" t="s">
        <v>66</v>
      </c>
      <c r="C82" s="108"/>
      <c r="D82" s="108"/>
      <c r="E82" s="108"/>
      <c r="F82" s="108"/>
      <c r="G82" s="108"/>
    </row>
    <row r="83" customFormat="false" ht="169.5" hidden="false" customHeight="true" outlineLevel="0" collapsed="false">
      <c r="B83" s="108" t="s">
        <v>67</v>
      </c>
      <c r="C83" s="108"/>
      <c r="D83" s="108"/>
      <c r="E83" s="108"/>
      <c r="F83" s="108"/>
      <c r="G83" s="108"/>
    </row>
    <row r="84" customFormat="false" ht="78" hidden="false" customHeight="true" outlineLevel="0" collapsed="false">
      <c r="B84" s="108" t="s">
        <v>68</v>
      </c>
      <c r="C84" s="108"/>
      <c r="D84" s="108"/>
      <c r="E84" s="108"/>
      <c r="F84" s="108"/>
      <c r="G84" s="108"/>
    </row>
  </sheetData>
  <sheetProtection sheet="true" objects="true" scenarios="true"/>
  <mergeCells count="17">
    <mergeCell ref="B4:D4"/>
    <mergeCell ref="D6:E6"/>
    <mergeCell ref="B15:D15"/>
    <mergeCell ref="B21:D21"/>
    <mergeCell ref="B27:D27"/>
    <mergeCell ref="B36:D36"/>
    <mergeCell ref="B51:D51"/>
    <mergeCell ref="B58:D58"/>
    <mergeCell ref="B70:D70"/>
    <mergeCell ref="B76:G76"/>
    <mergeCell ref="B77:G77"/>
    <mergeCell ref="B78:G78"/>
    <mergeCell ref="B79:G79"/>
    <mergeCell ref="B81:G81"/>
    <mergeCell ref="B82:G82"/>
    <mergeCell ref="B83:G83"/>
    <mergeCell ref="B84:G84"/>
  </mergeCells>
  <dataValidations count="2">
    <dataValidation allowBlank="false" errorStyle="stop" operator="between" showDropDown="false" showErrorMessage="false" showInputMessage="false" sqref="C28" type="list">
      <formula1>"Yes,No"</formula1>
      <formula2>0</formula2>
    </dataValidation>
    <dataValidation allowBlank="false" errorStyle="stop" operator="between" showDropDown="false" showErrorMessage="false" showInputMessage="false" sqref="E11" type="list">
      <formula1>"Yes,No"</formula1>
      <formula2>0</formula2>
    </dataValidation>
  </dataValidations>
  <printOptions headings="false" gridLines="false" gridLinesSet="true" horizontalCentered="false" verticalCentered="false"/>
  <pageMargins left="1.6" right="0.320138888888889"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2005-06-21T21:54:15Z</dcterms:created>
  <dc:creator>Laurie</dc:creator>
  <dc:description/>
  <dc:language>en-US</dc:language>
  <cp:lastModifiedBy>James Dainard</cp:lastModifiedBy>
  <cp:lastPrinted>2015-06-11T21:54:09Z</cp:lastPrinted>
  <dcterms:modified xsi:type="dcterms:W3CDTF">2026-07-01T19:56:21Z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0x010100FDFAB55647E03A46B5F49C973974AFC6</vt:lpwstr>
  </property>
</Properties>
</file>